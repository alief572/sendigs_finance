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Amdani\SEOYON\SMK3 ISO 45001\"/>
    </mc:Choice>
  </mc:AlternateContent>
  <xr:revisionPtr revIDLastSave="0" documentId="13_ncr:1_{2028E303-3DD9-4D4D-B8D0-CAAF1D2BD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hapan Program" sheetId="2" r:id="rId1"/>
    <sheet name="Progres Tandem Dokumen" sheetId="3" r:id="rId2"/>
  </sheets>
  <definedNames>
    <definedName name="_xlnm.Print_Area" localSheetId="0">'Tahapan Program'!$A$1:$AE$66</definedName>
    <definedName name="_xlnm.Print_Titles" localSheetId="0">'Tahapan Program'!$1:$8</definedName>
  </definedNames>
  <calcPr calcId="181029"/>
</workbook>
</file>

<file path=xl/calcChain.xml><?xml version="1.0" encoding="utf-8"?>
<calcChain xmlns="http://schemas.openxmlformats.org/spreadsheetml/2006/main">
  <c r="A11" i="2" l="1"/>
  <c r="A13" i="2"/>
  <c r="A15" i="2"/>
  <c r="A17" i="2" s="1"/>
  <c r="F43" i="2" l="1"/>
  <c r="F41" i="2"/>
  <c r="F39" i="2"/>
  <c r="F62" i="2"/>
  <c r="F11" i="2"/>
  <c r="F23" i="2"/>
  <c r="F13" i="2"/>
  <c r="E59" i="2"/>
  <c r="F57" i="2"/>
  <c r="F55" i="2"/>
  <c r="F53" i="2"/>
  <c r="F51" i="2"/>
  <c r="F49" i="2"/>
  <c r="F47" i="2"/>
  <c r="F45" i="2"/>
  <c r="A47" i="2"/>
  <c r="A49" i="2" s="1"/>
  <c r="A51" i="2" s="1"/>
  <c r="A53" i="2" s="1"/>
  <c r="A55" i="2" s="1"/>
  <c r="A57" i="2" s="1"/>
  <c r="F37" i="2"/>
  <c r="A37" i="2"/>
  <c r="F35" i="2"/>
  <c r="F33" i="2"/>
  <c r="F31" i="2"/>
  <c r="F17" i="2"/>
  <c r="F15" i="2"/>
  <c r="A19" i="2"/>
  <c r="F9" i="2"/>
  <c r="F59" i="2" l="1"/>
  <c r="F60" i="2" l="1"/>
  <c r="F61" i="2" s="1"/>
  <c r="F6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Amdani HSE</author>
  </authors>
  <commentList>
    <comment ref="K10" authorId="0" shapeId="0" xr:uid="{325862D7-802A-4EA5-B228-57FE417E289A}">
      <text>
        <r>
          <rPr>
            <b/>
            <sz val="9"/>
            <color indexed="81"/>
            <rFont val="Tahoma"/>
            <family val="2"/>
          </rPr>
          <t>Amdani HSE: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Kick off</t>
        </r>
      </text>
    </comment>
    <comment ref="M10" authorId="0" shapeId="0" xr:uid="{86C70051-590E-44F2-95C6-140B13DCCD0F}">
      <text>
        <r>
          <rPr>
            <b/>
            <sz val="9"/>
            <color indexed="81"/>
            <rFont val="Tahoma"/>
            <family val="2"/>
          </rPr>
          <t>Amdani HSE: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Gap analisis</t>
        </r>
      </text>
    </comment>
    <comment ref="U18" authorId="0" shapeId="0" xr:uid="{22CFEFB9-881E-4DA1-ABD2-CFDAC87B53B3}">
      <text>
        <r>
          <rPr>
            <b/>
            <sz val="9"/>
            <color indexed="81"/>
            <rFont val="Tahoma"/>
            <family val="2"/>
          </rPr>
          <t>Amdani HSE:</t>
        </r>
        <r>
          <rPr>
            <sz val="9"/>
            <color indexed="81"/>
            <rFont val="Tahoma"/>
            <family val="2"/>
          </rPr>
          <t xml:space="preserve">
Penyusunan HIRADC
- WH
- Deliv
- PPC</t>
        </r>
      </text>
    </comment>
    <comment ref="B27" authorId="0" shapeId="0" xr:uid="{F035F24A-374F-4F06-AA59-31C5C2A0830C}">
      <text>
        <r>
          <rPr>
            <b/>
            <sz val="16"/>
            <color indexed="81"/>
            <rFont val="Tahoma"/>
            <family val="2"/>
          </rPr>
          <t>Amdani HSE:</t>
        </r>
        <r>
          <rPr>
            <sz val="16"/>
            <color indexed="81"/>
            <rFont val="Tahoma"/>
            <family val="2"/>
          </rPr>
          <t xml:space="preserve">
Belum dibahas</t>
        </r>
      </text>
    </comment>
    <comment ref="AM34" authorId="0" shapeId="0" xr:uid="{FCF82C67-0ED8-43F5-AEAF-9DBAE393E8EB}">
      <text>
        <r>
          <rPr>
            <b/>
            <sz val="14"/>
            <color indexed="81"/>
            <rFont val="Tahoma"/>
            <family val="2"/>
          </rPr>
          <t>Amdani HSE:</t>
        </r>
        <r>
          <rPr>
            <sz val="14"/>
            <color indexed="81"/>
            <rFont val="Tahoma"/>
            <family val="2"/>
          </rPr>
          <t xml:space="preserve">
Proses Pembelian</t>
        </r>
      </text>
    </comment>
  </commentList>
</comments>
</file>

<file path=xl/sharedStrings.xml><?xml version="1.0" encoding="utf-8"?>
<sst xmlns="http://schemas.openxmlformats.org/spreadsheetml/2006/main" count="191" uniqueCount="96">
  <si>
    <t xml:space="preserve">Tahapan Konsultasi Program Sistem Manajemen Keselamatan dan Kesehatan Kerja Standar ISO 45001:2018 
</t>
  </si>
  <si>
    <t xml:space="preserve">PERUSAHAAN  </t>
  </si>
  <si>
    <t>LOKASI</t>
  </si>
  <si>
    <t>NO. PROPOSAL</t>
  </si>
  <si>
    <t>NO</t>
  </si>
  <si>
    <t>AKTIVITAS</t>
  </si>
  <si>
    <t>PIC</t>
  </si>
  <si>
    <t>MAN
DAYS</t>
  </si>
  <si>
    <t>STATUS</t>
  </si>
  <si>
    <t xml:space="preserve">Sentral
 Sistem </t>
  </si>
  <si>
    <t>Plan</t>
  </si>
  <si>
    <t>Actual</t>
  </si>
  <si>
    <t>Training Identifikasi Bahaya, Risiko  K3 (HIRADC)
Workshop :
- Identifikasi Bahaya dan Penilaian Risiko K3
- Identifikasi Risiko Lainnya dan Peluang K3</t>
  </si>
  <si>
    <t>Konsultasi Konteks Organisasi :
1. Isu Internal Dan Eksternal
2. Kebutuhan dan Harapan Tenaga Kerja dan Pihak yang Berkepentingan
3. Ruang Lingkup Sistem Manajemen K3
4. Identifikasi Proses Bisnis Organisasi terhadap Sistem Manajemen K3</t>
  </si>
  <si>
    <t>Konsultasi  Penentuan Peraturan dan Persyaratan Lain :
1. Identifikasi dan Evaluasi Pemenuhan Peraturan Perundangan dan Persyaratan Lain 
2. Review Perijinan &amp; Lisensi
3. Identifikasi Risiko dan Peluang didalam K3 dan Perusahaan</t>
  </si>
  <si>
    <t>Konsultasi dan Penetapan :
1. Kebijakan K3 
2. Sasaran K3 
3. Program Manajemen K3 terhadap Risiko dan Peluang HIRADC, Pemenuhan Peraturan dan Persyaratan Lain</t>
  </si>
  <si>
    <t>Review  Identifikasi Bahaya &amp; Penilaian Risiko :
1. Hasil Identifikasi Bahaya dan Penilaian Risiko K3
2. Identifikasi Risiko dan Peluang didalam K3 dan Perusahaan</t>
  </si>
  <si>
    <t>Training Awareness Persyaratan ISO 45001:2018</t>
  </si>
  <si>
    <t>Konsultasi :
1. Proses Partisipasi &amp; Konsultasi K3 
2. Kepedulian K3 Terintegrasi
3. Proses Komunikasi K3 (Internal &amp; Eksternal)
4. Pengendalian Dokumen &amp; Rekaman</t>
  </si>
  <si>
    <t>Konsultasi :
1. Proses Penerimaan karyawan dan Kompetensi
2. Pengendalian Perubahan (Management of Change)</t>
  </si>
  <si>
    <t>Konsultasi Perencanaan &amp; Pengendalian Operasional :
1. Pengendalian Bahaya (Eliminasi, Subtitusi, Engineering Control, Administrasi dan APD)
2. Pengendalian Bahan Kimia Berbahaya
3. Pengendalian Kontraktor
4. Pengendalian Proses Outsourcing</t>
  </si>
  <si>
    <t>Konsultasi Perencanaan &amp; Pengendalian Operasional :
1. Proses  Realisasi Produksi
2. Proses Pembelian Barang &amp; Jasa
3. Proses Perawatan dan Perbaikan
4. Proses Penyimpanan &amp; Logistik Barang</t>
  </si>
  <si>
    <t>Konsultasi Kesiapsiagaan dan Tanggap Darurat :
1. Short Briefing EPR
2. Perencanaan Tanggap Darurat
3. Simulasi dan Pengujian
4. Komunikasi Kondisi Darurat</t>
  </si>
  <si>
    <t>Konsultasi Evaluasi Kinerja K3 
1. Program Pemantauan &amp; Pengukuran K3 
3. Tinjauan Manajemen
4. Pelaporan &amp; Investigasi Insiden
5. Ketidaksesuaian dan Tindakan Perbaikan</t>
  </si>
  <si>
    <t>Sentral 
Sistem</t>
  </si>
  <si>
    <t>Training Audit Internal ISO 45001 : 2018 Berdasarkan Risiko dan Kinerja K3 ISO 19011:2018</t>
  </si>
  <si>
    <t xml:space="preserve">Audit Internal oleh Client </t>
  </si>
  <si>
    <t>Client</t>
  </si>
  <si>
    <t>Tinjauan Manajemen oleh Client</t>
  </si>
  <si>
    <t>Review Evaluasi Sistem &amp; Perbaikan Audit</t>
  </si>
  <si>
    <t>Audit Stage 1 oleh Badan Sertifikasi</t>
  </si>
  <si>
    <t>Badan
Sertifikasi</t>
  </si>
  <si>
    <t>Review tindakan perbaikkan atas temuan audit Stage 1</t>
  </si>
  <si>
    <t>Audit Stage 2 oleh Badan Sertifikasi</t>
  </si>
  <si>
    <t>Badan Sertifikasi</t>
  </si>
  <si>
    <t>Review tindakan perbaikkan atas temuan audit Stage 2</t>
  </si>
  <si>
    <t>Closing Meeting Project</t>
  </si>
  <si>
    <t xml:space="preserve">TOTAL </t>
  </si>
  <si>
    <t>DSCOUNT PAKET 18% SPECIAL UNTUK CLIENT SSC</t>
  </si>
  <si>
    <t xml:space="preserve">INVESTASi PENAWARAN </t>
  </si>
  <si>
    <t xml:space="preserve">: PT SUMMIT SEOYON AUTOMOTIVE INDONESIA </t>
  </si>
  <si>
    <t>: Deltamas, Jl. Dahlia II, Sukamukti, Kec. Bojongmangu, Kabupaten Bekasi, Jawa Barat 17530</t>
  </si>
  <si>
    <t xml:space="preserve">Kick Off &amp; Gap Analysis </t>
  </si>
  <si>
    <t>Konsultasi Identifikasi Bahaya &amp; Penilaian Risiko :
1. Hasil Identifikasi Bahaya dan Penilaian Risiko K3
2. Identifikasi Risiko dan Peluang didalam K3 dan Perusahaan</t>
  </si>
  <si>
    <t xml:space="preserve">Audit Internal oleh Konsultan </t>
  </si>
  <si>
    <t>Review Penentuan Peraturan dan Persyaratan Lain :
1. Identifikasi dan Evaluasi Pemenuhan Peraturan Perundangan dan Persyaratan Lain 
2. Review Perijinan &amp; Lisensi
3. Identifikasi Risiko dan Peluang di dalam ISO 45001 dan Perusahaan</t>
  </si>
  <si>
    <t xml:space="preserve">TOTAL DIKURANGI DISCOUNT PAKET SPECIAL </t>
  </si>
  <si>
    <t>Belum termasuk PPN 11%, Makan siang konsultan &amp; Biaya Initial Audit Badan Sertifikasi, Biaya Training Keahlian Kompetensi K3 dari Kemnaker atau Disnaker (PJK3 Training)</t>
  </si>
  <si>
    <t>TANDEM MEMBANTU PENYUSUNAN PROSEDUR , FORM RELATED PEMENUHAN ISO 45001</t>
  </si>
  <si>
    <t>: 096/STM/SI/VII/24</t>
  </si>
  <si>
    <t>DES</t>
  </si>
  <si>
    <t>JAN</t>
  </si>
  <si>
    <t>FEB</t>
  </si>
  <si>
    <t>28-31</t>
  </si>
  <si>
    <t>Proses</t>
  </si>
  <si>
    <t>Prosedur</t>
  </si>
  <si>
    <t>Status</t>
  </si>
  <si>
    <t>Manajemen</t>
  </si>
  <si>
    <t>Contex Org Risk Opp</t>
  </si>
  <si>
    <t>v</t>
  </si>
  <si>
    <t>Policy Management Act Plan</t>
  </si>
  <si>
    <t>Tinjauan Manajemen</t>
  </si>
  <si>
    <t>Corrective Preventive Action</t>
  </si>
  <si>
    <t>Continuous Improvement</t>
  </si>
  <si>
    <t>Internal Audit</t>
  </si>
  <si>
    <t>IBPR</t>
  </si>
  <si>
    <t>Identifikasi Peraturan</t>
  </si>
  <si>
    <t>Pemantauan dan Pengukuran</t>
  </si>
  <si>
    <t>Realisasi</t>
  </si>
  <si>
    <t>Pembelian</t>
  </si>
  <si>
    <t>Seleksi Supplier</t>
  </si>
  <si>
    <t>Supplier Performance &amp; Development</t>
  </si>
  <si>
    <t>Pendukung</t>
  </si>
  <si>
    <t>Pengendalian B3 dan Limbah</t>
  </si>
  <si>
    <t>Safety and Health</t>
  </si>
  <si>
    <t>Control of MSDS</t>
  </si>
  <si>
    <t>Control of Changing Points</t>
  </si>
  <si>
    <t>Rekrutmen dan Pelatihan Worker Baru</t>
  </si>
  <si>
    <t>Pengembangan SDM</t>
  </si>
  <si>
    <t>Pelatihan Pengembangan</t>
  </si>
  <si>
    <t>Pelatihan Orientasi/ OJT</t>
  </si>
  <si>
    <t>Control of Document Record</t>
  </si>
  <si>
    <t>Komunikasi, Konsultasi dan Partisipasi</t>
  </si>
  <si>
    <t>Contingency Plan</t>
  </si>
  <si>
    <t>Investigasi Insiden</t>
  </si>
  <si>
    <t>Pengendalian APD</t>
  </si>
  <si>
    <t>Pengendalian Subcont</t>
  </si>
  <si>
    <t>Izin Kerja Risiko Tinggi</t>
  </si>
  <si>
    <t>Manual Handling</t>
  </si>
  <si>
    <t>AGT 2024</t>
  </si>
  <si>
    <t>OKT 2024</t>
  </si>
  <si>
    <t>Yudha</t>
  </si>
  <si>
    <t>27-28</t>
  </si>
  <si>
    <t>Amdani</t>
  </si>
  <si>
    <t>Lock Out Tag Out (LOTO)</t>
  </si>
  <si>
    <t>Bani
Yudha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</si>
</sst>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22"/>
      <color indexed="48"/>
      <name val="Calibri"/>
      <family val="2"/>
      <scheme val="minor"/>
    </font>
    <font>
      <sz val="22"/>
      <name val="Arial"/>
      <family val="2"/>
    </font>
    <font>
      <sz val="22"/>
      <color rgb="FF0070C0"/>
      <name val="Calibri"/>
      <family val="2"/>
      <scheme val="minor"/>
    </font>
    <font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indexed="10"/>
      <name val="Calibri"/>
      <family val="2"/>
      <scheme val="minor"/>
    </font>
    <font>
      <sz val="22"/>
      <color indexed="44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Garamond"/>
      <family val="1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0" fillId="0" borderId="0" xfId="0" applyAlignment="1">
      <alignment horizontal="left"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0" fillId="0" borderId="4" xfId="0" applyBorder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1" fillId="0" borderId="0" xfId="1" applyFont="1"/>
    <xf numFmtId="0" fontId="6" fillId="0" borderId="4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1" fillId="0" borderId="0" xfId="1" applyFont="1"/>
    <xf numFmtId="0" fontId="2" fillId="0" borderId="0" xfId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7" fillId="0" borderId="4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7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9143050-5530-4BDF-8185-14ED34A92B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256946</xdr:colOff>
      <xdr:row>0</xdr:row>
      <xdr:rowOff>134620</xdr:rowOff>
    </xdr:from>
    <xdr:to>
      <xdr:col>40</xdr:col>
      <xdr:colOff>355510</xdr:colOff>
      <xdr:row>2</xdr:row>
      <xdr:rowOff>684094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32626" y="134620"/>
          <a:ext cx="2496730" cy="884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68330</xdr:colOff>
      <xdr:row>65</xdr:row>
      <xdr:rowOff>407060</xdr:rowOff>
    </xdr:from>
    <xdr:to>
      <xdr:col>6</xdr:col>
      <xdr:colOff>144530</xdr:colOff>
      <xdr:row>65</xdr:row>
      <xdr:rowOff>4256191</xdr:rowOff>
    </xdr:to>
    <xdr:sp macro="" textlink="">
      <xdr:nvSpPr>
        <xdr:cNvPr id="6" name="TextBox 6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30" y="50602468"/>
          <a:ext cx="12718961" cy="384913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400" b="1" u="sng">
              <a:latin typeface="+mn-lt"/>
            </a:rPr>
            <a:t>Investasi</a:t>
          </a:r>
          <a:r>
            <a:rPr lang="en-US" sz="2400" b="1" u="sng" baseline="0">
              <a:latin typeface="+mn-lt"/>
            </a:rPr>
            <a:t> </a:t>
          </a:r>
          <a:r>
            <a:rPr lang="en-US" sz="2400" b="1" u="sng">
              <a:latin typeface="+mn-lt"/>
            </a:rPr>
            <a:t> </a:t>
          </a:r>
          <a:r>
            <a:rPr lang="id-ID" sz="2400" b="1" u="sng">
              <a:latin typeface="+mn-lt"/>
            </a:rPr>
            <a:t>Sudah Termasuk :</a:t>
          </a:r>
          <a:r>
            <a:rPr lang="en-US" sz="2400" b="1" u="sng">
              <a:latin typeface="+mn-lt"/>
            </a:rPr>
            <a:t> </a:t>
          </a:r>
          <a:r>
            <a:rPr lang="en-US" sz="2400" b="1">
              <a:latin typeface="+mn-lt"/>
            </a:rPr>
            <a:t>		</a:t>
          </a:r>
          <a:endParaRPr lang="en-US" sz="2400" b="1">
            <a:latin typeface="+mn-lt"/>
            <a:cs typeface="+mn-cs"/>
          </a:endParaRP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400">
              <a:latin typeface="+mn-lt"/>
            </a:rPr>
            <a:t>Spanduk dan Standing Banner untuk sosialisasi saat Kick Off, masing-masing 1 unit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400">
              <a:latin typeface="+mn-lt"/>
            </a:rPr>
            <a:t> Materi Training dan E-Certificate untuk maksimal 25-30</a:t>
          </a:r>
          <a:r>
            <a:rPr lang="en-US" sz="2400" baseline="0">
              <a:latin typeface="+mn-lt"/>
            </a:rPr>
            <a:t> </a:t>
          </a:r>
          <a:r>
            <a:rPr lang="en-US" sz="2400">
              <a:latin typeface="+mn-lt"/>
            </a:rPr>
            <a:t>peserta, bisa didownload </a:t>
          </a:r>
          <a:r>
            <a:rPr lang="en-US" sz="2400" baseline="0">
              <a:latin typeface="+mn-lt"/>
            </a:rPr>
            <a:t>ke  </a:t>
          </a:r>
          <a:r>
            <a:rPr lang="en-US" sz="2400">
              <a:latin typeface="+mn-lt"/>
            </a:rPr>
            <a:t>Client Area - Sentral Sistem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400">
              <a:latin typeface="+mn-lt"/>
            </a:rPr>
            <a:t>Tandem</a:t>
          </a:r>
          <a:r>
            <a:rPr lang="en-US" sz="2400" baseline="0">
              <a:latin typeface="+mn-lt"/>
            </a:rPr>
            <a:t> untuk membantu Penyusunan Prosedur, Form Related Pemenuhan ISO 45001</a:t>
          </a:r>
          <a:endParaRPr lang="en-US" sz="2400">
            <a:latin typeface="+mn-lt"/>
          </a:endParaRP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400">
              <a:latin typeface="+mn-lt"/>
            </a:rPr>
            <a:t>Transportasi</a:t>
          </a:r>
          <a:r>
            <a:rPr lang="en-US" sz="2400" baseline="0">
              <a:latin typeface="+mn-lt"/>
            </a:rPr>
            <a:t> Konsultan  bila ke LOKASI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400">
              <a:latin typeface="+mn-lt"/>
            </a:rPr>
            <a:t>Free layanan milist: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400" u="sng">
              <a:latin typeface="+mn-lt"/>
            </a:rPr>
            <a:t>business-improvement@sentral-sistem.com;</a:t>
          </a:r>
          <a:r>
            <a:rPr lang="en-US" sz="24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400" u="sng">
              <a:latin typeface="+mn-lt"/>
            </a:rPr>
            <a:t>quality-technique@sentral-sistem.com;</a:t>
          </a:r>
          <a:r>
            <a:rPr lang="en-US" sz="24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400" u="sng">
              <a:latin typeface="+mn-lt"/>
            </a:rPr>
            <a:t>hse-community@sentral-sistem.com </a:t>
          </a:r>
          <a:endParaRPr lang="en-US" sz="2400">
            <a:latin typeface="+mn-lt"/>
          </a:endParaRPr>
        </a:p>
      </xdr:txBody>
    </xdr:sp>
    <xdr:clientData/>
  </xdr:twoCellAnchor>
  <xdr:twoCellAnchor>
    <xdr:from>
      <xdr:col>6</xdr:col>
      <xdr:colOff>546100</xdr:colOff>
      <xdr:row>58</xdr:row>
      <xdr:rowOff>255270</xdr:rowOff>
    </xdr:from>
    <xdr:to>
      <xdr:col>28</xdr:col>
      <xdr:colOff>32197</xdr:colOff>
      <xdr:row>64</xdr:row>
      <xdr:rowOff>547352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188861" y="46458228"/>
          <a:ext cx="9628209" cy="342594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untuk Client:</a:t>
          </a:r>
          <a:endParaRPr lang="en-ID" sz="2000" b="1">
            <a:effectLst/>
            <a:latin typeface="+mn-lt"/>
          </a:endParaRPr>
        </a:p>
        <a:p>
          <a:r>
            <a:rPr lang="en-ID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</a:p>
        <a:p>
          <a:r>
            <a:rPr lang="en-ID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ID" sz="2000">
              <a:latin typeface="+mn-lt"/>
            </a:rPr>
            <a:t> (1)</a:t>
          </a:r>
          <a:r>
            <a:rPr lang="en-ID" sz="2000" baseline="0">
              <a:latin typeface="+mn-lt"/>
            </a:rPr>
            <a:t> 1 Buah Buku Pedoman ISO 45001:2018 &amp; Buku Saku K3 </a:t>
          </a:r>
        </a:p>
        <a:p>
          <a:r>
            <a:rPr lang="en-ID" sz="2000" baseline="0">
              <a:latin typeface="+mn-lt"/>
            </a:rPr>
            <a:t>                          (2) Free Webinar untuk 2 peserta untuk 2  topik </a:t>
          </a:r>
        </a:p>
        <a:p>
          <a:endParaRPr lang="en-ID" sz="20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D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Dapatkan Discount Special </a:t>
          </a:r>
          <a:endParaRPr lang="en-ID" sz="2000" b="1">
            <a:effectLst/>
            <a:latin typeface="+mn-lt"/>
          </a:endParaRPr>
        </a:p>
        <a:p>
          <a:r>
            <a:rPr lang="en-ID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DIGITALISASI ISO – SENDIG Yang Semakin Memudahkan Anda untuk Penyimpanan Data Perusahaan Terkait Implementasi ISO 45001 Tentunya Semakin Memudahkan untuk Pencarian Data Plus Referensi ISO dari Konsultasi Paket ISO 45001:2018</a:t>
          </a:r>
          <a:endParaRPr lang="en-ID" sz="1800" baseline="0">
            <a:latin typeface="Britannic Bold" panose="020B0903060703020204" pitchFamily="34" charset="0"/>
          </a:endParaRPr>
        </a:p>
      </xdr:txBody>
    </xdr:sp>
    <xdr:clientData/>
  </xdr:twoCellAnchor>
  <xdr:twoCellAnchor editAs="oneCell">
    <xdr:from>
      <xdr:col>6</xdr:col>
      <xdr:colOff>619125</xdr:colOff>
      <xdr:row>59</xdr:row>
      <xdr:rowOff>381000</xdr:rowOff>
    </xdr:from>
    <xdr:to>
      <xdr:col>8</xdr:col>
      <xdr:colOff>349047</xdr:colOff>
      <xdr:row>61</xdr:row>
      <xdr:rowOff>507666</xdr:rowOff>
    </xdr:to>
    <xdr:pic>
      <xdr:nvPicPr>
        <xdr:cNvPr id="8" name="Picture 7" descr="Aneh Menolak Bonus Tuhan Melalui Covid-19 Halaman 3 - Kompasiana.co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503275" y="52133500"/>
          <a:ext cx="1316990" cy="97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8"/>
  <sheetViews>
    <sheetView tabSelected="1" topLeftCell="A36" zoomScale="37" zoomScaleNormal="50" zoomScaleSheetLayoutView="25" workbookViewId="0">
      <selection activeCell="BG37" sqref="BG37"/>
    </sheetView>
  </sheetViews>
  <sheetFormatPr defaultColWidth="9" defaultRowHeight="13.2" x14ac:dyDescent="0.25"/>
  <cols>
    <col min="1" max="1" width="10.77734375" customWidth="1"/>
    <col min="2" max="2" width="25.21875" customWidth="1"/>
    <col min="3" max="3" width="68.44140625" customWidth="1"/>
    <col min="4" max="4" width="25" customWidth="1"/>
    <col min="5" max="5" width="21.77734375" customWidth="1"/>
    <col min="6" max="6" width="33.21875" hidden="1" customWidth="1"/>
    <col min="7" max="7" width="16.44140625" customWidth="1"/>
    <col min="8" max="23" width="6.21875" customWidth="1"/>
    <col min="24" max="35" width="6.21875" hidden="1" customWidth="1"/>
    <col min="36" max="63" width="6.21875" customWidth="1"/>
  </cols>
  <sheetData>
    <row r="1" spans="1:63" ht="12.75" customHeight="1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 spans="1:63" ht="12.7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spans="1:63" ht="57.7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16"/>
    </row>
    <row r="4" spans="1:63" ht="28.8" x14ac:dyDescent="0.55000000000000004">
      <c r="A4" s="2" t="s">
        <v>1</v>
      </c>
      <c r="B4" s="3"/>
      <c r="C4" s="4" t="s">
        <v>40</v>
      </c>
      <c r="D4" s="5"/>
      <c r="E4" s="5"/>
      <c r="F4" s="5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"/>
      <c r="X4" s="3"/>
      <c r="Y4" s="3"/>
      <c r="Z4" s="2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3"/>
      <c r="AO4" s="3"/>
      <c r="AP4" s="3"/>
      <c r="AQ4" s="2"/>
      <c r="AR4" s="3"/>
      <c r="AS4" s="3"/>
      <c r="AT4" s="3"/>
      <c r="AU4" s="2"/>
      <c r="AV4" s="3"/>
      <c r="AW4" s="3"/>
      <c r="AX4" s="3"/>
      <c r="AY4" s="2"/>
      <c r="AZ4" s="3"/>
      <c r="BA4" s="3"/>
      <c r="BB4" s="3"/>
      <c r="BC4" s="2"/>
      <c r="BD4" s="3"/>
      <c r="BE4" s="3"/>
      <c r="BF4" s="3"/>
      <c r="BG4" s="2"/>
      <c r="BH4" s="3"/>
      <c r="BI4" s="3"/>
      <c r="BJ4" s="3"/>
      <c r="BK4" s="2"/>
    </row>
    <row r="5" spans="1:63" ht="41.4" customHeight="1" x14ac:dyDescent="0.55000000000000004">
      <c r="A5" s="4" t="s">
        <v>2</v>
      </c>
      <c r="B5" s="2"/>
      <c r="C5" s="79" t="s">
        <v>41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17"/>
    </row>
    <row r="6" spans="1:63" ht="28.8" x14ac:dyDescent="0.55000000000000004">
      <c r="A6" s="2" t="s">
        <v>3</v>
      </c>
      <c r="B6" s="3"/>
      <c r="C6" s="2" t="s">
        <v>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5"/>
      <c r="AC6" s="5"/>
      <c r="AD6" s="5"/>
      <c r="AE6" s="5"/>
      <c r="AF6" s="5"/>
      <c r="AG6" s="5"/>
      <c r="AH6" s="5"/>
      <c r="AI6" s="5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ht="43.5" customHeight="1" x14ac:dyDescent="0.25">
      <c r="A7" s="65" t="s">
        <v>4</v>
      </c>
      <c r="B7" s="51" t="s">
        <v>5</v>
      </c>
      <c r="C7" s="52"/>
      <c r="D7" s="65" t="s">
        <v>6</v>
      </c>
      <c r="E7" s="75" t="s">
        <v>7</v>
      </c>
      <c r="F7" s="75" t="s">
        <v>7</v>
      </c>
      <c r="G7" s="65" t="s">
        <v>8</v>
      </c>
      <c r="H7" s="78" t="s">
        <v>89</v>
      </c>
      <c r="I7" s="78"/>
      <c r="J7" s="78"/>
      <c r="K7" s="78"/>
      <c r="L7" s="77">
        <v>45536</v>
      </c>
      <c r="M7" s="78"/>
      <c r="N7" s="78"/>
      <c r="O7" s="78"/>
      <c r="P7" s="78" t="s">
        <v>90</v>
      </c>
      <c r="Q7" s="78"/>
      <c r="R7" s="78"/>
      <c r="S7" s="78"/>
      <c r="T7" s="77">
        <v>45597</v>
      </c>
      <c r="U7" s="78"/>
      <c r="V7" s="78"/>
      <c r="W7" s="78"/>
      <c r="X7" s="78" t="s">
        <v>50</v>
      </c>
      <c r="Y7" s="78"/>
      <c r="Z7" s="78"/>
      <c r="AA7" s="78"/>
      <c r="AB7" s="78" t="s">
        <v>51</v>
      </c>
      <c r="AC7" s="78"/>
      <c r="AD7" s="78"/>
      <c r="AE7" s="78"/>
      <c r="AF7" s="78" t="s">
        <v>52</v>
      </c>
      <c r="AG7" s="78"/>
      <c r="AH7" s="78"/>
      <c r="AI7" s="78"/>
      <c r="AJ7" s="77">
        <v>45748</v>
      </c>
      <c r="AK7" s="78"/>
      <c r="AL7" s="78"/>
      <c r="AM7" s="78"/>
      <c r="AN7" s="77">
        <v>45931</v>
      </c>
      <c r="AO7" s="78"/>
      <c r="AP7" s="78"/>
      <c r="AQ7" s="78"/>
      <c r="AR7" s="77">
        <v>45962</v>
      </c>
      <c r="AS7" s="78"/>
      <c r="AT7" s="78"/>
      <c r="AU7" s="78"/>
      <c r="AV7" s="77">
        <v>45992</v>
      </c>
      <c r="AW7" s="78"/>
      <c r="AX7" s="78"/>
      <c r="AY7" s="78"/>
      <c r="AZ7" s="77">
        <v>46048</v>
      </c>
      <c r="BA7" s="78"/>
      <c r="BB7" s="78"/>
      <c r="BC7" s="78"/>
      <c r="BD7" s="77">
        <v>46138</v>
      </c>
      <c r="BE7" s="78"/>
      <c r="BF7" s="78"/>
      <c r="BG7" s="78"/>
      <c r="BH7" s="77">
        <v>46199</v>
      </c>
      <c r="BI7" s="78"/>
      <c r="BJ7" s="78"/>
      <c r="BK7" s="78"/>
    </row>
    <row r="8" spans="1:63" ht="45.75" customHeight="1" x14ac:dyDescent="0.25">
      <c r="A8" s="66"/>
      <c r="B8" s="53"/>
      <c r="C8" s="54"/>
      <c r="D8" s="66"/>
      <c r="E8" s="66"/>
      <c r="F8" s="66"/>
      <c r="G8" s="66"/>
      <c r="H8" s="36">
        <v>1</v>
      </c>
      <c r="I8" s="36">
        <v>2</v>
      </c>
      <c r="J8" s="36">
        <v>3</v>
      </c>
      <c r="K8" s="36">
        <v>4</v>
      </c>
      <c r="L8" s="36">
        <v>1</v>
      </c>
      <c r="M8" s="36">
        <v>2</v>
      </c>
      <c r="N8" s="36">
        <v>3</v>
      </c>
      <c r="O8" s="36">
        <v>4</v>
      </c>
      <c r="P8" s="36">
        <v>1</v>
      </c>
      <c r="Q8" s="36">
        <v>2</v>
      </c>
      <c r="R8" s="36">
        <v>3</v>
      </c>
      <c r="S8" s="36">
        <v>4</v>
      </c>
      <c r="T8" s="36">
        <v>1</v>
      </c>
      <c r="U8" s="36">
        <v>2</v>
      </c>
      <c r="V8" s="36">
        <v>3</v>
      </c>
      <c r="W8" s="36">
        <v>4</v>
      </c>
      <c r="X8" s="36">
        <v>1</v>
      </c>
      <c r="Y8" s="36">
        <v>2</v>
      </c>
      <c r="Z8" s="36">
        <v>3</v>
      </c>
      <c r="AA8" s="36">
        <v>4</v>
      </c>
      <c r="AB8" s="36">
        <v>1</v>
      </c>
      <c r="AC8" s="36">
        <v>2</v>
      </c>
      <c r="AD8" s="36">
        <v>3</v>
      </c>
      <c r="AE8" s="36">
        <v>4</v>
      </c>
      <c r="AF8" s="36">
        <v>1</v>
      </c>
      <c r="AG8" s="36">
        <v>2</v>
      </c>
      <c r="AH8" s="36">
        <v>3</v>
      </c>
      <c r="AI8" s="36">
        <v>4</v>
      </c>
      <c r="AJ8" s="36">
        <v>1</v>
      </c>
      <c r="AK8" s="36">
        <v>2</v>
      </c>
      <c r="AL8" s="36">
        <v>3</v>
      </c>
      <c r="AM8" s="36">
        <v>4</v>
      </c>
      <c r="AN8" s="36">
        <v>1</v>
      </c>
      <c r="AO8" s="36">
        <v>2</v>
      </c>
      <c r="AP8" s="36">
        <v>3</v>
      </c>
      <c r="AQ8" s="36">
        <v>4</v>
      </c>
      <c r="AR8" s="36">
        <v>1</v>
      </c>
      <c r="AS8" s="36">
        <v>2</v>
      </c>
      <c r="AT8" s="36">
        <v>3</v>
      </c>
      <c r="AU8" s="36">
        <v>4</v>
      </c>
      <c r="AV8" s="36">
        <v>1</v>
      </c>
      <c r="AW8" s="36">
        <v>2</v>
      </c>
      <c r="AX8" s="36">
        <v>3</v>
      </c>
      <c r="AY8" s="36">
        <v>4</v>
      </c>
      <c r="AZ8" s="36">
        <v>1</v>
      </c>
      <c r="BA8" s="36">
        <v>2</v>
      </c>
      <c r="BB8" s="36">
        <v>3</v>
      </c>
      <c r="BC8" s="36">
        <v>4</v>
      </c>
      <c r="BD8" s="36">
        <v>1</v>
      </c>
      <c r="BE8" s="36">
        <v>2</v>
      </c>
      <c r="BF8" s="36">
        <v>3</v>
      </c>
      <c r="BG8" s="36">
        <v>4</v>
      </c>
      <c r="BH8" s="36">
        <v>1</v>
      </c>
      <c r="BI8" s="36">
        <v>2</v>
      </c>
      <c r="BJ8" s="36">
        <v>3</v>
      </c>
      <c r="BK8" s="36">
        <v>4</v>
      </c>
    </row>
    <row r="9" spans="1:63" ht="51.45" customHeight="1" x14ac:dyDescent="0.25">
      <c r="A9" s="55">
        <v>1</v>
      </c>
      <c r="B9" s="50" t="s">
        <v>42</v>
      </c>
      <c r="C9" s="50"/>
      <c r="D9" s="57" t="s">
        <v>9</v>
      </c>
      <c r="E9" s="57">
        <v>1</v>
      </c>
      <c r="F9" s="60">
        <f>E9*2700000</f>
        <v>2700000</v>
      </c>
      <c r="G9" s="8" t="s">
        <v>10</v>
      </c>
      <c r="H9" s="7"/>
      <c r="I9" s="7"/>
      <c r="J9" s="7"/>
      <c r="K9" s="11">
        <v>30</v>
      </c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</row>
    <row r="10" spans="1:63" ht="42.45" customHeight="1" x14ac:dyDescent="0.25">
      <c r="A10" s="55"/>
      <c r="B10" s="50"/>
      <c r="C10" s="50"/>
      <c r="D10" s="58"/>
      <c r="E10" s="57"/>
      <c r="F10" s="60"/>
      <c r="G10" s="8" t="s">
        <v>11</v>
      </c>
      <c r="H10" s="7"/>
      <c r="I10" s="7"/>
      <c r="J10" s="7"/>
      <c r="K10" s="39">
        <v>30</v>
      </c>
      <c r="L10" s="7"/>
      <c r="M10" s="39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</row>
    <row r="11" spans="1:63" ht="46.2" customHeight="1" x14ac:dyDescent="0.25">
      <c r="A11" s="55">
        <f>A9+1</f>
        <v>2</v>
      </c>
      <c r="B11" s="50" t="s">
        <v>17</v>
      </c>
      <c r="C11" s="50"/>
      <c r="D11" s="57" t="s">
        <v>9</v>
      </c>
      <c r="E11" s="57">
        <v>1</v>
      </c>
      <c r="F11" s="60">
        <f>E11*7000000</f>
        <v>7000000</v>
      </c>
      <c r="G11" s="8" t="s">
        <v>10</v>
      </c>
      <c r="H11" s="8"/>
      <c r="I11" s="8"/>
      <c r="J11" s="8"/>
      <c r="K11" s="12"/>
      <c r="L11" s="8"/>
      <c r="M11" s="8"/>
      <c r="N11" s="6"/>
      <c r="O11" s="8"/>
      <c r="P11" s="7"/>
      <c r="Q11" s="8"/>
      <c r="R11" s="37"/>
      <c r="S11" s="8"/>
      <c r="T11" s="7"/>
      <c r="U11" s="7"/>
      <c r="V11" s="7"/>
      <c r="W11" s="7"/>
      <c r="X11" s="7"/>
      <c r="Y11" s="7"/>
      <c r="Z11" s="7"/>
      <c r="AA11" s="7"/>
      <c r="AB11" s="7"/>
      <c r="AC11" s="8"/>
      <c r="AD11" s="8"/>
      <c r="AE11" s="8"/>
      <c r="AF11" s="7"/>
      <c r="AG11" s="8"/>
      <c r="AH11" s="8"/>
      <c r="AI11" s="8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 spans="1:63" ht="48.6" customHeight="1" x14ac:dyDescent="0.25">
      <c r="A12" s="56"/>
      <c r="B12" s="50"/>
      <c r="C12" s="50"/>
      <c r="D12" s="58"/>
      <c r="E12" s="57"/>
      <c r="F12" s="60"/>
      <c r="G12" s="8" t="s">
        <v>11</v>
      </c>
      <c r="H12" s="8"/>
      <c r="I12" s="8"/>
      <c r="J12" s="8"/>
      <c r="K12" s="12"/>
      <c r="L12" s="8"/>
      <c r="M12" s="8"/>
      <c r="N12" s="39">
        <v>24</v>
      </c>
      <c r="O12" s="7"/>
      <c r="P12" s="7"/>
      <c r="Q12" s="8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  <c r="AD12" s="8"/>
      <c r="AE12" s="8"/>
      <c r="AF12" s="7"/>
      <c r="AG12" s="8"/>
      <c r="AH12" s="8"/>
      <c r="AI12" s="8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 spans="1:63" ht="94.5" customHeight="1" x14ac:dyDescent="0.25">
      <c r="A13" s="55">
        <f>A11+1</f>
        <v>3</v>
      </c>
      <c r="B13" s="50" t="s">
        <v>12</v>
      </c>
      <c r="C13" s="50"/>
      <c r="D13" s="57" t="s">
        <v>9</v>
      </c>
      <c r="E13" s="57">
        <v>1</v>
      </c>
      <c r="F13" s="60">
        <f>E13*7000000</f>
        <v>7000000</v>
      </c>
      <c r="G13" s="8" t="s">
        <v>10</v>
      </c>
      <c r="H13" s="7"/>
      <c r="I13" s="7"/>
      <c r="J13" s="7"/>
      <c r="K13" s="7"/>
      <c r="L13" s="7"/>
      <c r="M13" s="8"/>
      <c r="N13" s="8"/>
      <c r="O13" s="8"/>
      <c r="P13" s="8"/>
      <c r="Q13" s="6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</row>
    <row r="14" spans="1:63" ht="94.5" customHeight="1" x14ac:dyDescent="0.25">
      <c r="A14" s="56"/>
      <c r="B14" s="50"/>
      <c r="C14" s="50"/>
      <c r="D14" s="57"/>
      <c r="E14" s="57"/>
      <c r="F14" s="60"/>
      <c r="G14" s="8" t="s">
        <v>11</v>
      </c>
      <c r="H14" s="7"/>
      <c r="I14" s="7"/>
      <c r="J14" s="7"/>
      <c r="K14" s="7"/>
      <c r="L14" s="7"/>
      <c r="M14" s="8"/>
      <c r="N14" s="8"/>
      <c r="O14" s="8"/>
      <c r="P14" s="8"/>
      <c r="Q14" s="39">
        <v>10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</row>
    <row r="15" spans="1:63" ht="130.80000000000001" customHeight="1" x14ac:dyDescent="0.25">
      <c r="A15" s="55">
        <f>A13+1</f>
        <v>4</v>
      </c>
      <c r="B15" s="50" t="s">
        <v>13</v>
      </c>
      <c r="C15" s="50"/>
      <c r="D15" s="57" t="s">
        <v>9</v>
      </c>
      <c r="E15" s="57">
        <v>1</v>
      </c>
      <c r="F15" s="60">
        <f>E15*2700000</f>
        <v>2700000</v>
      </c>
      <c r="G15" s="8" t="s">
        <v>10</v>
      </c>
      <c r="H15" s="7"/>
      <c r="I15" s="7"/>
      <c r="J15" s="7"/>
      <c r="K15" s="7"/>
      <c r="L15" s="7"/>
      <c r="M15" s="7"/>
      <c r="N15" s="8"/>
      <c r="O15" s="7"/>
      <c r="P15" s="8"/>
      <c r="Q15" s="8"/>
      <c r="R15" s="6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45">
        <v>16</v>
      </c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</row>
    <row r="16" spans="1:63" ht="144.6" customHeight="1" x14ac:dyDescent="0.25">
      <c r="A16" s="56"/>
      <c r="B16" s="50"/>
      <c r="C16" s="50"/>
      <c r="D16" s="57"/>
      <c r="E16" s="57"/>
      <c r="F16" s="60"/>
      <c r="G16" s="8" t="s">
        <v>11</v>
      </c>
      <c r="H16" s="8"/>
      <c r="I16" s="8"/>
      <c r="J16" s="1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39">
        <v>16</v>
      </c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</row>
    <row r="17" spans="1:63" ht="88.8" customHeight="1" x14ac:dyDescent="0.25">
      <c r="A17" s="55">
        <f>A15+1</f>
        <v>5</v>
      </c>
      <c r="B17" s="50" t="s">
        <v>43</v>
      </c>
      <c r="C17" s="50"/>
      <c r="D17" s="57" t="s">
        <v>9</v>
      </c>
      <c r="E17" s="57">
        <v>4</v>
      </c>
      <c r="F17" s="60">
        <f>E17*2700000</f>
        <v>10800000</v>
      </c>
      <c r="G17" s="8" t="s">
        <v>10</v>
      </c>
      <c r="H17" s="7"/>
      <c r="I17" s="7"/>
      <c r="J17" s="7"/>
      <c r="K17" s="7"/>
      <c r="L17" s="7"/>
      <c r="M17" s="7"/>
      <c r="N17" s="7"/>
      <c r="O17" s="8"/>
      <c r="P17" s="8"/>
      <c r="Q17" s="8"/>
      <c r="R17" s="8"/>
      <c r="S17" s="11" t="s">
        <v>53</v>
      </c>
      <c r="T17" s="8"/>
      <c r="U17" s="45">
        <v>11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45">
        <v>13</v>
      </c>
      <c r="BB17" s="8"/>
      <c r="BC17" s="8"/>
      <c r="BD17" s="8"/>
      <c r="BE17" s="81"/>
      <c r="BF17" s="81"/>
      <c r="BG17" s="81"/>
      <c r="BH17" s="81"/>
      <c r="BI17" s="81"/>
      <c r="BJ17" s="8"/>
      <c r="BK17" s="8"/>
    </row>
    <row r="18" spans="1:63" ht="101.4" customHeight="1" x14ac:dyDescent="0.25">
      <c r="A18" s="56"/>
      <c r="B18" s="50"/>
      <c r="C18" s="50"/>
      <c r="D18" s="57"/>
      <c r="E18" s="57"/>
      <c r="F18" s="60"/>
      <c r="G18" s="8" t="s">
        <v>11</v>
      </c>
      <c r="H18" s="7"/>
      <c r="I18" s="7"/>
      <c r="J18" s="7"/>
      <c r="K18" s="7"/>
      <c r="L18" s="8"/>
      <c r="M18" s="8"/>
      <c r="N18" s="8"/>
      <c r="O18" s="8"/>
      <c r="P18" s="8"/>
      <c r="Q18" s="8"/>
      <c r="R18" s="8"/>
      <c r="S18" s="8"/>
      <c r="T18" s="8"/>
      <c r="U18" s="39">
        <v>11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39">
        <v>13</v>
      </c>
      <c r="BB18" s="8"/>
      <c r="BC18" s="8"/>
      <c r="BD18" s="8"/>
      <c r="BE18" s="81"/>
      <c r="BF18" s="39">
        <v>21</v>
      </c>
      <c r="BG18" s="39">
        <v>28</v>
      </c>
      <c r="BH18" s="81"/>
      <c r="BI18" s="81"/>
      <c r="BJ18" s="8"/>
      <c r="BK18" s="8"/>
    </row>
    <row r="19" spans="1:63" ht="115.2" customHeight="1" x14ac:dyDescent="0.25">
      <c r="A19" s="55">
        <f>A17+1</f>
        <v>6</v>
      </c>
      <c r="B19" s="50" t="s">
        <v>14</v>
      </c>
      <c r="C19" s="50"/>
      <c r="D19" s="57" t="s">
        <v>9</v>
      </c>
      <c r="E19" s="57">
        <v>1</v>
      </c>
      <c r="F19" s="60">
        <v>5400000</v>
      </c>
      <c r="G19" s="8" t="s">
        <v>10</v>
      </c>
      <c r="H19" s="7"/>
      <c r="I19" s="7"/>
      <c r="J19" s="7"/>
      <c r="K19" s="7"/>
      <c r="L19" s="8"/>
      <c r="M19" s="8"/>
      <c r="N19" s="7"/>
      <c r="O19" s="8"/>
      <c r="P19" s="8"/>
      <c r="Q19" s="8"/>
      <c r="R19" s="6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45">
        <v>15</v>
      </c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</row>
    <row r="20" spans="1:63" ht="128.4" customHeight="1" x14ac:dyDescent="0.25">
      <c r="A20" s="56"/>
      <c r="B20" s="50"/>
      <c r="C20" s="50"/>
      <c r="D20" s="57"/>
      <c r="E20" s="57"/>
      <c r="F20" s="60"/>
      <c r="G20" s="8" t="s">
        <v>11</v>
      </c>
      <c r="H20" s="7"/>
      <c r="I20" s="7"/>
      <c r="J20" s="7"/>
      <c r="K20" s="7"/>
      <c r="L20" s="8"/>
      <c r="M20" s="8"/>
      <c r="N20" s="8"/>
      <c r="O20" s="7"/>
      <c r="P20" s="8"/>
      <c r="Q20" s="8"/>
      <c r="R20" s="8"/>
      <c r="S20" s="7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39">
        <v>15</v>
      </c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</row>
    <row r="21" spans="1:63" ht="115.2" customHeight="1" x14ac:dyDescent="0.25">
      <c r="A21" s="55">
        <v>7</v>
      </c>
      <c r="B21" s="50" t="s">
        <v>15</v>
      </c>
      <c r="C21" s="50"/>
      <c r="D21" s="57" t="s">
        <v>9</v>
      </c>
      <c r="E21" s="57"/>
      <c r="F21" s="60"/>
      <c r="G21" s="8" t="s">
        <v>10</v>
      </c>
      <c r="H21" s="8"/>
      <c r="I21" s="8"/>
      <c r="J21" s="8"/>
      <c r="K21" s="12"/>
      <c r="L21" s="8"/>
      <c r="M21" s="8"/>
      <c r="N21" s="14"/>
      <c r="O21" s="8"/>
      <c r="P21" s="8"/>
      <c r="Q21" s="7"/>
      <c r="R21" s="13"/>
      <c r="S21" s="8"/>
      <c r="T21" s="8"/>
      <c r="U21" s="7"/>
      <c r="V21" s="14"/>
      <c r="W21" s="14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7"/>
      <c r="AL21" s="45">
        <v>15</v>
      </c>
      <c r="AM21" s="14"/>
      <c r="AN21" s="8"/>
      <c r="AO21" s="7"/>
      <c r="AP21" s="14"/>
      <c r="AQ21" s="14"/>
      <c r="AR21" s="8"/>
      <c r="AS21" s="7"/>
      <c r="AT21" s="14"/>
      <c r="AU21" s="14"/>
      <c r="AV21" s="8"/>
      <c r="AW21" s="7"/>
      <c r="AX21" s="14"/>
      <c r="AY21" s="14"/>
      <c r="AZ21" s="8"/>
      <c r="BA21" s="7"/>
      <c r="BB21" s="14"/>
      <c r="BC21" s="14"/>
      <c r="BD21" s="8"/>
      <c r="BE21" s="7"/>
      <c r="BF21" s="14"/>
      <c r="BG21" s="14"/>
      <c r="BH21" s="8"/>
      <c r="BI21" s="7"/>
      <c r="BJ21" s="14"/>
      <c r="BK21" s="14"/>
    </row>
    <row r="22" spans="1:63" ht="102" customHeight="1" x14ac:dyDescent="0.25">
      <c r="A22" s="56"/>
      <c r="B22" s="50"/>
      <c r="C22" s="50"/>
      <c r="D22" s="58"/>
      <c r="E22" s="57"/>
      <c r="F22" s="60"/>
      <c r="G22" s="8" t="s">
        <v>11</v>
      </c>
      <c r="H22" s="8"/>
      <c r="I22" s="8"/>
      <c r="J22" s="8"/>
      <c r="K22" s="12"/>
      <c r="L22" s="8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8"/>
      <c r="AH22" s="8"/>
      <c r="AI22" s="8"/>
      <c r="AJ22" s="7"/>
      <c r="AK22" s="7"/>
      <c r="AL22" s="39">
        <v>15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spans="1:63" ht="70.95" customHeight="1" x14ac:dyDescent="0.25">
      <c r="A23" s="55">
        <v>8</v>
      </c>
      <c r="B23" s="50" t="s">
        <v>16</v>
      </c>
      <c r="C23" s="50"/>
      <c r="D23" s="57" t="s">
        <v>91</v>
      </c>
      <c r="E23" s="57">
        <v>1</v>
      </c>
      <c r="F23" s="60">
        <f>E23*2700000</f>
        <v>2700000</v>
      </c>
      <c r="G23" s="8" t="s">
        <v>10</v>
      </c>
      <c r="H23" s="7"/>
      <c r="I23" s="7"/>
      <c r="J23" s="7"/>
      <c r="K23" s="8"/>
      <c r="L23" s="8"/>
      <c r="M23" s="8"/>
      <c r="N23" s="7"/>
      <c r="O23" s="7"/>
      <c r="P23" s="8"/>
      <c r="Q23" s="8"/>
      <c r="R23" s="7"/>
      <c r="S23" s="6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45">
        <v>14</v>
      </c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1:63" ht="100.05" customHeight="1" x14ac:dyDescent="0.25">
      <c r="A24" s="56"/>
      <c r="B24" s="50"/>
      <c r="C24" s="50"/>
      <c r="D24" s="57"/>
      <c r="E24" s="57"/>
      <c r="F24" s="60"/>
      <c r="G24" s="8" t="s">
        <v>11</v>
      </c>
      <c r="H24" s="7"/>
      <c r="I24" s="7"/>
      <c r="J24" s="7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39">
        <v>14</v>
      </c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1:63" ht="112.2" customHeight="1" x14ac:dyDescent="0.25">
      <c r="A25" s="55">
        <v>9</v>
      </c>
      <c r="B25" s="50" t="s">
        <v>45</v>
      </c>
      <c r="C25" s="50"/>
      <c r="D25" s="57" t="s">
        <v>91</v>
      </c>
      <c r="E25" s="57"/>
      <c r="F25" s="60"/>
      <c r="G25" s="8" t="s">
        <v>10</v>
      </c>
      <c r="H25" s="7"/>
      <c r="I25" s="7"/>
      <c r="J25" s="7"/>
      <c r="K25" s="7"/>
      <c r="L25" s="8"/>
      <c r="M25" s="8"/>
      <c r="N25" s="8"/>
      <c r="O25" s="7"/>
      <c r="P25" s="8"/>
      <c r="Q25" s="8"/>
      <c r="R25" s="8"/>
      <c r="S25" s="6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45">
        <v>14</v>
      </c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</row>
    <row r="26" spans="1:63" ht="136.80000000000001" customHeight="1" x14ac:dyDescent="0.25">
      <c r="A26" s="56"/>
      <c r="B26" s="50"/>
      <c r="C26" s="50"/>
      <c r="D26" s="57"/>
      <c r="E26" s="57"/>
      <c r="F26" s="60"/>
      <c r="G26" s="8" t="s">
        <v>11</v>
      </c>
      <c r="H26" s="7"/>
      <c r="I26" s="7"/>
      <c r="J26" s="7"/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39">
        <v>14</v>
      </c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</row>
    <row r="27" spans="1:63" ht="108.6" customHeight="1" x14ac:dyDescent="0.25">
      <c r="A27" s="55">
        <v>11</v>
      </c>
      <c r="B27" s="50" t="s">
        <v>18</v>
      </c>
      <c r="C27" s="50"/>
      <c r="D27" s="57" t="s">
        <v>9</v>
      </c>
      <c r="E27" s="57">
        <v>1</v>
      </c>
      <c r="F27" s="60">
        <v>5400000</v>
      </c>
      <c r="G27" s="8" t="s">
        <v>10</v>
      </c>
      <c r="H27" s="8"/>
      <c r="I27" s="8"/>
      <c r="J27" s="8"/>
      <c r="K27" s="12"/>
      <c r="L27" s="8"/>
      <c r="M27" s="8"/>
      <c r="N27" s="7"/>
      <c r="O27" s="14"/>
      <c r="P27" s="7"/>
      <c r="Q27" s="7"/>
      <c r="R27" s="7"/>
      <c r="S27" s="14"/>
      <c r="T27" s="7"/>
      <c r="U27" s="6"/>
      <c r="V27" s="7"/>
      <c r="W27" s="7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7"/>
      <c r="AK27" s="7"/>
      <c r="AL27" s="7"/>
      <c r="AM27" s="7"/>
      <c r="AN27" s="7"/>
      <c r="AO27" s="7"/>
      <c r="AP27" s="7"/>
      <c r="AQ27" s="45">
        <v>29</v>
      </c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spans="1:63" ht="97.2" customHeight="1" x14ac:dyDescent="0.25">
      <c r="A28" s="56"/>
      <c r="B28" s="50"/>
      <c r="C28" s="50"/>
      <c r="D28" s="58"/>
      <c r="E28" s="57"/>
      <c r="F28" s="60"/>
      <c r="G28" s="8" t="s">
        <v>11</v>
      </c>
      <c r="H28" s="8"/>
      <c r="I28" s="8"/>
      <c r="J28" s="8"/>
      <c r="K28" s="12"/>
      <c r="L28" s="8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8"/>
      <c r="AH28" s="8"/>
      <c r="AI28" s="8"/>
      <c r="AJ28" s="7"/>
      <c r="AK28" s="7"/>
      <c r="AL28" s="7"/>
      <c r="AM28" s="7"/>
      <c r="AN28" s="7"/>
      <c r="AO28" s="7"/>
      <c r="AP28" s="7"/>
      <c r="AQ28" s="39">
        <v>29</v>
      </c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</row>
    <row r="29" spans="1:63" ht="68.400000000000006" customHeight="1" x14ac:dyDescent="0.25">
      <c r="A29" s="55">
        <v>12</v>
      </c>
      <c r="B29" s="50" t="s">
        <v>19</v>
      </c>
      <c r="C29" s="50"/>
      <c r="D29" s="57" t="s">
        <v>9</v>
      </c>
      <c r="E29" s="57"/>
      <c r="F29" s="60"/>
      <c r="G29" s="8" t="s">
        <v>10</v>
      </c>
      <c r="H29" s="8"/>
      <c r="I29" s="8"/>
      <c r="J29" s="8"/>
      <c r="K29" s="12"/>
      <c r="L29" s="8"/>
      <c r="M29" s="8"/>
      <c r="N29" s="7"/>
      <c r="O29" s="18"/>
      <c r="P29" s="7"/>
      <c r="Q29" s="7"/>
      <c r="R29" s="7"/>
      <c r="S29" s="18"/>
      <c r="T29" s="7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8"/>
      <c r="AH29" s="8"/>
      <c r="AI29" s="8"/>
      <c r="AJ29" s="7"/>
      <c r="AK29" s="7"/>
      <c r="AL29" s="7"/>
      <c r="AM29" s="7"/>
      <c r="AN29" s="7"/>
      <c r="AO29" s="7"/>
      <c r="AP29" s="7"/>
      <c r="AQ29" s="45">
        <v>29</v>
      </c>
      <c r="AR29" s="7"/>
      <c r="AS29" s="7"/>
      <c r="AT29" s="45">
        <v>25</v>
      </c>
      <c r="AU29" s="7"/>
      <c r="AV29" s="7"/>
      <c r="AW29" s="7"/>
      <c r="AX29" s="8"/>
      <c r="AY29" s="7"/>
      <c r="AZ29" s="7"/>
      <c r="BA29" s="7"/>
      <c r="BB29" s="8"/>
      <c r="BC29" s="7"/>
      <c r="BD29" s="7"/>
      <c r="BE29" s="7"/>
      <c r="BF29" s="8"/>
      <c r="BG29" s="7"/>
      <c r="BH29" s="7"/>
      <c r="BI29" s="7"/>
      <c r="BJ29" s="8"/>
      <c r="BK29" s="7"/>
    </row>
    <row r="30" spans="1:63" ht="70.8" customHeight="1" x14ac:dyDescent="0.25">
      <c r="A30" s="56"/>
      <c r="B30" s="50"/>
      <c r="C30" s="50"/>
      <c r="D30" s="58"/>
      <c r="E30" s="57"/>
      <c r="F30" s="60"/>
      <c r="G30" s="8" t="s">
        <v>11</v>
      </c>
      <c r="H30" s="8"/>
      <c r="I30" s="8"/>
      <c r="J30" s="8"/>
      <c r="K30" s="12"/>
      <c r="L30" s="8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8"/>
      <c r="AH30" s="8"/>
      <c r="AI30" s="8"/>
      <c r="AJ30" s="7"/>
      <c r="AK30" s="7"/>
      <c r="AL30" s="39">
        <v>22</v>
      </c>
      <c r="AM30" s="7"/>
      <c r="AN30" s="7"/>
      <c r="AO30" s="7"/>
      <c r="AP30" s="7"/>
      <c r="AQ30" s="39">
        <v>29</v>
      </c>
      <c r="AR30" s="7"/>
      <c r="AS30" s="7"/>
      <c r="AT30" s="39">
        <v>25</v>
      </c>
      <c r="AU30" s="7"/>
      <c r="AV30" s="7"/>
      <c r="AW30" s="7"/>
      <c r="AX30" s="8"/>
      <c r="AY30" s="7"/>
      <c r="AZ30" s="7"/>
      <c r="BA30" s="7"/>
      <c r="BB30" s="8"/>
      <c r="BC30" s="7"/>
      <c r="BD30" s="7"/>
      <c r="BE30" s="7"/>
      <c r="BF30" s="8"/>
      <c r="BG30" s="7"/>
      <c r="BH30" s="7"/>
      <c r="BI30" s="7"/>
      <c r="BJ30" s="8"/>
      <c r="BK30" s="7"/>
    </row>
    <row r="31" spans="1:63" ht="108" customHeight="1" x14ac:dyDescent="0.25">
      <c r="A31" s="55">
        <v>13</v>
      </c>
      <c r="B31" s="50" t="s">
        <v>20</v>
      </c>
      <c r="C31" s="50"/>
      <c r="D31" s="57" t="s">
        <v>91</v>
      </c>
      <c r="E31" s="57">
        <v>1</v>
      </c>
      <c r="F31" s="60">
        <f t="shared" ref="F31:F35" si="0">E31*2700000</f>
        <v>2700000</v>
      </c>
      <c r="G31" s="8" t="s">
        <v>10</v>
      </c>
      <c r="H31" s="8"/>
      <c r="I31" s="8"/>
      <c r="J31" s="8"/>
      <c r="K31" s="12"/>
      <c r="L31" s="8"/>
      <c r="M31" s="8"/>
      <c r="N31" s="18"/>
      <c r="O31" s="14"/>
      <c r="P31" s="14"/>
      <c r="Q31" s="7"/>
      <c r="R31" s="18"/>
      <c r="S31" s="14"/>
      <c r="T31" s="14"/>
      <c r="U31" s="7"/>
      <c r="V31" s="6"/>
      <c r="W31" s="7"/>
      <c r="X31" s="7"/>
      <c r="Y31" s="7"/>
      <c r="Z31" s="7"/>
      <c r="AA31" s="8"/>
      <c r="AB31" s="8"/>
      <c r="AC31" s="8"/>
      <c r="AD31" s="8"/>
      <c r="AE31" s="8"/>
      <c r="AF31" s="8"/>
      <c r="AG31" s="8"/>
      <c r="AH31" s="8"/>
      <c r="AI31" s="8"/>
      <c r="AJ31" s="14"/>
      <c r="AK31" s="7"/>
      <c r="AL31" s="7"/>
      <c r="AM31" s="7"/>
      <c r="AN31" s="14"/>
      <c r="AO31" s="7"/>
      <c r="AP31" s="45">
        <v>22</v>
      </c>
      <c r="AQ31" s="7"/>
      <c r="AR31" s="14"/>
      <c r="AS31" s="7"/>
      <c r="AT31" s="7"/>
      <c r="AU31" s="7"/>
      <c r="AV31" s="14"/>
      <c r="AW31" s="7"/>
      <c r="AX31" s="7"/>
      <c r="AY31" s="7"/>
      <c r="AZ31" s="14"/>
      <c r="BA31" s="7"/>
      <c r="BB31" s="7"/>
      <c r="BC31" s="7"/>
      <c r="BD31" s="14"/>
      <c r="BE31" s="7"/>
      <c r="BF31" s="7"/>
      <c r="BG31" s="7"/>
      <c r="BH31" s="14"/>
      <c r="BI31" s="7"/>
      <c r="BJ31" s="7"/>
      <c r="BK31" s="7"/>
    </row>
    <row r="32" spans="1:63" ht="129" customHeight="1" x14ac:dyDescent="0.25">
      <c r="A32" s="56"/>
      <c r="B32" s="50"/>
      <c r="C32" s="50"/>
      <c r="D32" s="58"/>
      <c r="E32" s="57"/>
      <c r="F32" s="60"/>
      <c r="G32" s="8" t="s">
        <v>11</v>
      </c>
      <c r="H32" s="8"/>
      <c r="I32" s="8"/>
      <c r="J32" s="8"/>
      <c r="K32" s="12"/>
      <c r="L32" s="8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8"/>
      <c r="AH32" s="8"/>
      <c r="AI32" s="8"/>
      <c r="AJ32" s="7"/>
      <c r="AK32" s="7"/>
      <c r="AL32" s="7"/>
      <c r="AM32" s="7"/>
      <c r="AN32" s="7"/>
      <c r="AO32" s="7"/>
      <c r="AP32" s="39">
        <v>22</v>
      </c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 spans="1:63" ht="109.8" customHeight="1" x14ac:dyDescent="0.25">
      <c r="A33" s="55">
        <v>14</v>
      </c>
      <c r="B33" s="50" t="s">
        <v>21</v>
      </c>
      <c r="C33" s="50"/>
      <c r="D33" s="57" t="s">
        <v>9</v>
      </c>
      <c r="E33" s="57"/>
      <c r="F33" s="60">
        <f t="shared" si="0"/>
        <v>0</v>
      </c>
      <c r="G33" s="8" t="s">
        <v>10</v>
      </c>
      <c r="H33" s="8"/>
      <c r="I33" s="8"/>
      <c r="J33" s="8"/>
      <c r="K33" s="12"/>
      <c r="L33" s="8"/>
      <c r="M33" s="8"/>
      <c r="N33" s="7"/>
      <c r="O33" s="7"/>
      <c r="P33" s="18"/>
      <c r="Q33" s="7"/>
      <c r="R33" s="7"/>
      <c r="S33" s="7"/>
      <c r="T33" s="18"/>
      <c r="U33" s="7"/>
      <c r="V33" s="6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8"/>
      <c r="AH33" s="8"/>
      <c r="AI33" s="8"/>
      <c r="AJ33" s="18"/>
      <c r="AK33" s="7"/>
      <c r="AL33" s="7"/>
      <c r="AM33" s="7"/>
      <c r="AN33" s="18"/>
      <c r="AO33" s="7"/>
      <c r="AP33" s="7"/>
      <c r="AQ33" s="7"/>
      <c r="AR33" s="18"/>
      <c r="AS33" s="7"/>
      <c r="AT33" s="45">
        <v>25</v>
      </c>
      <c r="AU33" s="7"/>
      <c r="AV33" s="18"/>
      <c r="AW33" s="7"/>
      <c r="AX33" s="8"/>
      <c r="AY33" s="7"/>
      <c r="AZ33" s="18"/>
      <c r="BA33" s="7"/>
      <c r="BB33" s="8"/>
      <c r="BC33" s="7"/>
      <c r="BD33" s="18"/>
      <c r="BE33" s="7"/>
      <c r="BF33" s="8"/>
      <c r="BG33" s="7"/>
      <c r="BH33" s="18"/>
      <c r="BI33" s="7"/>
      <c r="BJ33" s="8"/>
      <c r="BK33" s="7"/>
    </row>
    <row r="34" spans="1:63" ht="120.6" customHeight="1" x14ac:dyDescent="0.25">
      <c r="A34" s="56"/>
      <c r="B34" s="50"/>
      <c r="C34" s="50"/>
      <c r="D34" s="58"/>
      <c r="E34" s="57"/>
      <c r="F34" s="60"/>
      <c r="G34" s="8" t="s">
        <v>11</v>
      </c>
      <c r="H34" s="8"/>
      <c r="I34" s="8"/>
      <c r="J34" s="8"/>
      <c r="K34" s="12"/>
      <c r="L34" s="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8"/>
      <c r="AH34" s="8"/>
      <c r="AI34" s="8"/>
      <c r="AJ34" s="7"/>
      <c r="AK34" s="7"/>
      <c r="AL34" s="7"/>
      <c r="AM34" s="39">
        <v>29</v>
      </c>
      <c r="AN34" s="7"/>
      <c r="AO34" s="7"/>
      <c r="AP34" s="7"/>
      <c r="AQ34" s="7"/>
      <c r="AR34" s="7"/>
      <c r="AS34" s="7"/>
      <c r="AT34" s="39">
        <v>25</v>
      </c>
      <c r="AU34" s="7"/>
      <c r="AV34" s="7"/>
      <c r="AW34" s="7"/>
      <c r="AX34" s="8"/>
      <c r="AY34" s="7"/>
      <c r="AZ34" s="7"/>
      <c r="BA34" s="7"/>
      <c r="BB34" s="8"/>
      <c r="BC34" s="7"/>
      <c r="BD34" s="7"/>
      <c r="BE34" s="7"/>
      <c r="BF34" s="8"/>
      <c r="BG34" s="7"/>
      <c r="BH34" s="7"/>
      <c r="BI34" s="7"/>
      <c r="BJ34" s="8"/>
      <c r="BK34" s="7"/>
    </row>
    <row r="35" spans="1:63" s="1" customFormat="1" ht="99" customHeight="1" x14ac:dyDescent="0.25">
      <c r="A35" s="55">
        <v>15</v>
      </c>
      <c r="B35" s="50" t="s">
        <v>22</v>
      </c>
      <c r="C35" s="50"/>
      <c r="D35" s="57" t="s">
        <v>91</v>
      </c>
      <c r="E35" s="57">
        <v>1</v>
      </c>
      <c r="F35" s="60">
        <f t="shared" si="0"/>
        <v>2700000</v>
      </c>
      <c r="G35" s="8" t="s">
        <v>10</v>
      </c>
      <c r="H35" s="9"/>
      <c r="I35" s="9"/>
      <c r="J35" s="9"/>
      <c r="K35" s="9"/>
      <c r="L35" s="8"/>
      <c r="M35" s="15"/>
      <c r="N35" s="15"/>
      <c r="O35" s="15"/>
      <c r="P35" s="15"/>
      <c r="Q35" s="38"/>
      <c r="R35" s="15"/>
      <c r="S35" s="15"/>
      <c r="T35" s="15"/>
      <c r="U35" s="38"/>
      <c r="V35" s="15"/>
      <c r="W35" s="15"/>
      <c r="X35" s="7"/>
      <c r="Y35" s="7"/>
      <c r="Z35" s="7"/>
      <c r="AA35" s="7"/>
      <c r="AB35" s="15"/>
      <c r="AC35" s="15"/>
      <c r="AD35" s="15"/>
      <c r="AE35" s="15"/>
      <c r="AF35" s="15"/>
      <c r="AG35" s="9"/>
      <c r="AH35" s="9"/>
      <c r="AI35" s="9"/>
      <c r="AJ35" s="15"/>
      <c r="AK35" s="38"/>
      <c r="AL35" s="15"/>
      <c r="AM35" s="15"/>
      <c r="AN35" s="15"/>
      <c r="AO35" s="38"/>
      <c r="AP35" s="45">
        <v>22</v>
      </c>
      <c r="AQ35" s="15"/>
      <c r="AR35" s="15"/>
      <c r="AS35" s="38"/>
      <c r="AT35" s="15"/>
      <c r="AU35" s="15"/>
      <c r="AV35" s="15"/>
      <c r="AW35" s="38"/>
      <c r="AX35" s="15"/>
      <c r="AY35" s="15"/>
      <c r="AZ35" s="15"/>
      <c r="BA35" s="38"/>
      <c r="BB35" s="15"/>
      <c r="BC35" s="15"/>
      <c r="BD35" s="15"/>
      <c r="BE35" s="38"/>
      <c r="BF35" s="15"/>
      <c r="BG35" s="15"/>
      <c r="BH35" s="15"/>
      <c r="BI35" s="38"/>
      <c r="BJ35" s="15"/>
      <c r="BK35" s="15"/>
    </row>
    <row r="36" spans="1:63" s="1" customFormat="1" ht="99" customHeight="1" x14ac:dyDescent="0.25">
      <c r="A36" s="56"/>
      <c r="B36" s="50"/>
      <c r="C36" s="50"/>
      <c r="D36" s="58"/>
      <c r="E36" s="57"/>
      <c r="F36" s="60"/>
      <c r="G36" s="8" t="s">
        <v>11</v>
      </c>
      <c r="H36" s="9"/>
      <c r="I36" s="9"/>
      <c r="J36" s="9"/>
      <c r="K36" s="9"/>
      <c r="L36" s="8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9"/>
      <c r="AH36" s="9"/>
      <c r="AI36" s="9"/>
      <c r="AJ36" s="15"/>
      <c r="AK36" s="15"/>
      <c r="AL36" s="15"/>
      <c r="AM36" s="15"/>
      <c r="AN36" s="15"/>
      <c r="AO36" s="15"/>
      <c r="AP36" s="39">
        <v>22</v>
      </c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39">
        <v>30</v>
      </c>
      <c r="BH36" s="15"/>
      <c r="BI36" s="15"/>
      <c r="BJ36" s="15"/>
      <c r="BK36" s="15"/>
    </row>
    <row r="37" spans="1:63" ht="94.8" customHeight="1" x14ac:dyDescent="0.25">
      <c r="A37" s="55">
        <f>A35+1</f>
        <v>16</v>
      </c>
      <c r="B37" s="50" t="s">
        <v>23</v>
      </c>
      <c r="C37" s="50"/>
      <c r="D37" s="57" t="s">
        <v>91</v>
      </c>
      <c r="E37" s="57">
        <v>1</v>
      </c>
      <c r="F37" s="60">
        <f>E37*2700000</f>
        <v>2700000</v>
      </c>
      <c r="G37" s="8" t="s">
        <v>10</v>
      </c>
      <c r="H37" s="8"/>
      <c r="I37" s="8"/>
      <c r="J37" s="8"/>
      <c r="K37" s="12"/>
      <c r="L37" s="8"/>
      <c r="M37" s="7"/>
      <c r="N37" s="7"/>
      <c r="O37" s="7"/>
      <c r="P37" s="15"/>
      <c r="Q37" s="15"/>
      <c r="R37" s="7"/>
      <c r="S37" s="7"/>
      <c r="T37" s="15"/>
      <c r="U37" s="15"/>
      <c r="V37" s="15"/>
      <c r="W37" s="15"/>
      <c r="X37" s="15"/>
      <c r="Y37" s="15"/>
      <c r="Z37" s="15"/>
      <c r="AA37" s="15"/>
      <c r="AB37" s="15"/>
      <c r="AC37" s="7"/>
      <c r="AD37" s="7"/>
      <c r="AE37" s="7"/>
      <c r="AF37" s="8"/>
      <c r="AG37" s="8"/>
      <c r="AH37" s="8"/>
      <c r="AI37" s="7"/>
      <c r="AJ37" s="15"/>
      <c r="AK37" s="15"/>
      <c r="AL37" s="15"/>
      <c r="AM37" s="15"/>
      <c r="AN37" s="15"/>
      <c r="AO37" s="45">
        <v>14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1:63" ht="95.25" customHeight="1" x14ac:dyDescent="0.25">
      <c r="A38" s="56"/>
      <c r="B38" s="50"/>
      <c r="C38" s="50"/>
      <c r="D38" s="58"/>
      <c r="E38" s="57"/>
      <c r="F38" s="60"/>
      <c r="G38" s="8" t="s">
        <v>11</v>
      </c>
      <c r="H38" s="8"/>
      <c r="I38" s="8"/>
      <c r="J38" s="8"/>
      <c r="K38" s="12"/>
      <c r="L38" s="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8"/>
      <c r="AI38" s="7"/>
      <c r="AJ38" s="7"/>
      <c r="AK38" s="7"/>
      <c r="AL38" s="7"/>
      <c r="AM38" s="7"/>
      <c r="AN38" s="7"/>
      <c r="AO38" s="39">
        <v>14</v>
      </c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</row>
    <row r="39" spans="1:63" ht="67.8" customHeight="1" x14ac:dyDescent="0.25">
      <c r="A39" s="55">
        <v>17</v>
      </c>
      <c r="B39" s="50" t="s">
        <v>25</v>
      </c>
      <c r="C39" s="50"/>
      <c r="D39" s="57" t="s">
        <v>93</v>
      </c>
      <c r="E39" s="57">
        <v>2</v>
      </c>
      <c r="F39" s="60">
        <f>E39*7000000</f>
        <v>14000000</v>
      </c>
      <c r="G39" s="8" t="s">
        <v>10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2"/>
      <c r="W39" s="8"/>
      <c r="X39" s="12"/>
      <c r="Y39" s="15"/>
      <c r="Z39" s="7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12"/>
      <c r="AM39" s="8"/>
      <c r="AN39" s="8"/>
      <c r="AO39" s="8"/>
      <c r="AP39" s="12"/>
      <c r="AQ39" s="45" t="s">
        <v>92</v>
      </c>
      <c r="AR39" s="8"/>
      <c r="AS39" s="8"/>
      <c r="AT39" s="12"/>
      <c r="AU39" s="8"/>
      <c r="AV39" s="8"/>
      <c r="AW39" s="8"/>
      <c r="AX39" s="12"/>
      <c r="AY39" s="8"/>
      <c r="AZ39" s="8"/>
      <c r="BA39" s="8"/>
      <c r="BB39" s="12"/>
      <c r="BC39" s="8"/>
      <c r="BD39" s="8"/>
      <c r="BE39" s="8"/>
      <c r="BF39" s="12"/>
      <c r="BG39" s="8"/>
      <c r="BH39" s="8"/>
      <c r="BI39" s="8"/>
      <c r="BJ39" s="12"/>
      <c r="BK39" s="8"/>
    </row>
    <row r="40" spans="1:63" ht="61.2" customHeight="1" x14ac:dyDescent="0.25">
      <c r="A40" s="56"/>
      <c r="B40" s="50"/>
      <c r="C40" s="50"/>
      <c r="D40" s="58"/>
      <c r="E40" s="57"/>
      <c r="F40" s="60"/>
      <c r="G40" s="8" t="s">
        <v>11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2"/>
      <c r="W40" s="12"/>
      <c r="X40" s="7"/>
      <c r="Y40" s="7"/>
      <c r="Z40" s="7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12"/>
      <c r="AM40" s="12"/>
      <c r="AN40" s="8"/>
      <c r="AO40" s="8"/>
      <c r="AP40" s="12"/>
      <c r="AQ40" s="39" t="s">
        <v>92</v>
      </c>
      <c r="AR40" s="8"/>
      <c r="AS40" s="8"/>
      <c r="AT40" s="12"/>
      <c r="AU40" s="12"/>
      <c r="AV40" s="8"/>
      <c r="AW40" s="8"/>
      <c r="AX40" s="12"/>
      <c r="AY40" s="12"/>
      <c r="AZ40" s="8"/>
      <c r="BA40" s="8"/>
      <c r="BB40" s="12"/>
      <c r="BC40" s="12"/>
      <c r="BD40" s="8"/>
      <c r="BE40" s="8"/>
      <c r="BF40" s="12"/>
      <c r="BG40" s="12"/>
      <c r="BH40" s="8"/>
      <c r="BI40" s="8"/>
      <c r="BJ40" s="12"/>
      <c r="BK40" s="12"/>
    </row>
    <row r="41" spans="1:63" ht="57" customHeight="1" x14ac:dyDescent="0.25">
      <c r="A41" s="55">
        <v>18</v>
      </c>
      <c r="B41" s="50" t="s">
        <v>26</v>
      </c>
      <c r="C41" s="50"/>
      <c r="D41" s="59" t="s">
        <v>27</v>
      </c>
      <c r="E41" s="57">
        <v>0</v>
      </c>
      <c r="F41" s="60">
        <f t="shared" ref="F41" si="1">E41*2700000</f>
        <v>0</v>
      </c>
      <c r="G41" s="8" t="s">
        <v>10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2"/>
      <c r="W41" s="12"/>
      <c r="X41" s="7"/>
      <c r="Y41" s="7"/>
      <c r="Z41" s="18"/>
      <c r="AA41" s="1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12"/>
      <c r="AM41" s="12"/>
      <c r="AN41" s="8"/>
      <c r="AO41" s="8"/>
      <c r="AP41" s="12"/>
      <c r="AQ41" s="12"/>
      <c r="AR41" s="8"/>
      <c r="AS41" s="8"/>
      <c r="AT41" s="12"/>
      <c r="AU41" s="12"/>
      <c r="AV41" s="8"/>
      <c r="AW41" s="8"/>
      <c r="AX41" s="12"/>
      <c r="AY41" s="12"/>
      <c r="AZ41" s="8"/>
      <c r="BA41" s="8"/>
      <c r="BB41" s="12"/>
      <c r="BC41" s="12"/>
      <c r="BD41" s="8"/>
      <c r="BE41" s="8"/>
      <c r="BF41" s="12"/>
      <c r="BG41" s="12"/>
      <c r="BH41" s="8"/>
      <c r="BI41" s="8"/>
      <c r="BJ41" s="12"/>
      <c r="BK41" s="12"/>
    </row>
    <row r="42" spans="1:63" ht="45.6" customHeight="1" x14ac:dyDescent="0.25">
      <c r="A42" s="56"/>
      <c r="B42" s="50"/>
      <c r="C42" s="50"/>
      <c r="D42" s="59"/>
      <c r="E42" s="57"/>
      <c r="F42" s="60"/>
      <c r="G42" s="8" t="s">
        <v>11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2"/>
      <c r="W42" s="12"/>
      <c r="X42" s="7"/>
      <c r="Y42" s="7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12"/>
      <c r="AM42" s="12"/>
      <c r="AN42" s="8"/>
      <c r="AO42" s="8"/>
      <c r="AP42" s="12"/>
      <c r="AQ42" s="12"/>
      <c r="AR42" s="8"/>
      <c r="AS42" s="8"/>
      <c r="AT42" s="12"/>
      <c r="AU42" s="12"/>
      <c r="AV42" s="8"/>
      <c r="AW42" s="8"/>
      <c r="AX42" s="12"/>
      <c r="AY42" s="12"/>
      <c r="AZ42" s="8"/>
      <c r="BA42" s="8"/>
      <c r="BB42" s="12"/>
      <c r="BC42" s="12"/>
      <c r="BD42" s="8"/>
      <c r="BE42" s="8"/>
      <c r="BF42" s="12"/>
      <c r="BG42" s="12"/>
      <c r="BH42" s="8"/>
      <c r="BI42" s="8"/>
      <c r="BJ42" s="12"/>
      <c r="BK42" s="12"/>
    </row>
    <row r="43" spans="1:63" ht="38.4" customHeight="1" x14ac:dyDescent="0.25">
      <c r="A43" s="55">
        <v>19</v>
      </c>
      <c r="B43" s="50" t="s">
        <v>28</v>
      </c>
      <c r="C43" s="50"/>
      <c r="D43" s="59" t="s">
        <v>27</v>
      </c>
      <c r="E43" s="57">
        <v>0</v>
      </c>
      <c r="F43" s="60">
        <f t="shared" ref="F43" si="2">E43*2700000</f>
        <v>0</v>
      </c>
      <c r="G43" s="8" t="s">
        <v>10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2"/>
      <c r="W43" s="12"/>
      <c r="X43" s="7"/>
      <c r="Y43" s="7"/>
      <c r="Z43" s="18"/>
      <c r="AA43" s="18"/>
      <c r="AB43" s="7"/>
      <c r="AC43" s="14"/>
      <c r="AD43" s="12"/>
      <c r="AE43" s="12"/>
      <c r="AF43" s="7"/>
      <c r="AG43" s="12"/>
      <c r="AH43" s="12"/>
      <c r="AI43" s="7"/>
      <c r="AJ43" s="8"/>
      <c r="AK43" s="8"/>
      <c r="AL43" s="12"/>
      <c r="AM43" s="12"/>
      <c r="AN43" s="8"/>
      <c r="AO43" s="8"/>
      <c r="AP43" s="12"/>
      <c r="AQ43" s="12"/>
      <c r="AR43" s="8"/>
      <c r="AS43" s="8"/>
      <c r="AT43" s="12"/>
      <c r="AU43" s="12"/>
      <c r="AV43" s="8"/>
      <c r="AW43" s="8"/>
      <c r="AX43" s="12"/>
      <c r="AY43" s="12"/>
      <c r="AZ43" s="8"/>
      <c r="BA43" s="8"/>
      <c r="BB43" s="12"/>
      <c r="BC43" s="12"/>
      <c r="BD43" s="8"/>
      <c r="BE43" s="8"/>
      <c r="BF43" s="12"/>
      <c r="BG43" s="12"/>
      <c r="BH43" s="8"/>
      <c r="BI43" s="8"/>
      <c r="BJ43" s="12"/>
      <c r="BK43" s="12"/>
    </row>
    <row r="44" spans="1:63" ht="51.6" customHeight="1" x14ac:dyDescent="0.25">
      <c r="A44" s="56"/>
      <c r="B44" s="50"/>
      <c r="C44" s="50"/>
      <c r="D44" s="59"/>
      <c r="E44" s="57"/>
      <c r="F44" s="60"/>
      <c r="G44" s="8" t="s">
        <v>11</v>
      </c>
      <c r="H44" s="8"/>
      <c r="I44" s="8"/>
      <c r="J44" s="8"/>
      <c r="K44" s="8"/>
      <c r="L44" s="8"/>
      <c r="M44" s="8"/>
      <c r="N44" s="8"/>
      <c r="O44" s="8"/>
      <c r="P44" s="8"/>
      <c r="Q44" s="12"/>
      <c r="R44" s="8"/>
      <c r="S44" s="8"/>
      <c r="T44" s="8"/>
      <c r="U44" s="12"/>
      <c r="V44" s="12"/>
      <c r="W44" s="7"/>
      <c r="X44" s="7"/>
      <c r="Y44" s="7"/>
      <c r="Z44" s="7"/>
      <c r="AA44" s="7"/>
      <c r="AB44" s="7"/>
      <c r="AC44" s="14"/>
      <c r="AD44" s="12"/>
      <c r="AE44" s="12"/>
      <c r="AF44" s="7"/>
      <c r="AG44" s="12"/>
      <c r="AH44" s="12"/>
      <c r="AI44" s="7"/>
      <c r="AJ44" s="8"/>
      <c r="AK44" s="12"/>
      <c r="AL44" s="12"/>
      <c r="AM44" s="7"/>
      <c r="AN44" s="8"/>
      <c r="AO44" s="12"/>
      <c r="AP44" s="12"/>
      <c r="AQ44" s="7"/>
      <c r="AR44" s="8"/>
      <c r="AS44" s="12"/>
      <c r="AT44" s="12"/>
      <c r="AU44" s="7"/>
      <c r="AV44" s="8"/>
      <c r="AW44" s="12"/>
      <c r="AX44" s="12"/>
      <c r="AY44" s="7"/>
      <c r="AZ44" s="8"/>
      <c r="BA44" s="12"/>
      <c r="BB44" s="12"/>
      <c r="BC44" s="7"/>
      <c r="BD44" s="8"/>
      <c r="BE44" s="12"/>
      <c r="BF44" s="12"/>
      <c r="BG44" s="7"/>
      <c r="BH44" s="8"/>
      <c r="BI44" s="12"/>
      <c r="BJ44" s="12"/>
      <c r="BK44" s="7"/>
    </row>
    <row r="45" spans="1:63" ht="46.8" customHeight="1" x14ac:dyDescent="0.25">
      <c r="A45" s="55">
        <v>20</v>
      </c>
      <c r="B45" s="50" t="s">
        <v>44</v>
      </c>
      <c r="C45" s="50"/>
      <c r="D45" s="57" t="s">
        <v>95</v>
      </c>
      <c r="E45" s="57">
        <v>2</v>
      </c>
      <c r="F45" s="60">
        <f t="shared" ref="F45" si="3">E45*2700000</f>
        <v>5400000</v>
      </c>
      <c r="G45" s="8" t="s">
        <v>10</v>
      </c>
      <c r="H45" s="8"/>
      <c r="I45" s="8"/>
      <c r="J45" s="8"/>
      <c r="K45" s="8"/>
      <c r="L45" s="8"/>
      <c r="M45" s="8"/>
      <c r="N45" s="8"/>
      <c r="O45" s="8"/>
      <c r="P45" s="8"/>
      <c r="Q45" s="12"/>
      <c r="R45" s="8"/>
      <c r="S45" s="8"/>
      <c r="T45" s="8"/>
      <c r="U45" s="12"/>
      <c r="V45" s="12"/>
      <c r="W45" s="7"/>
      <c r="X45" s="7"/>
      <c r="Y45" s="7"/>
      <c r="Z45" s="7"/>
      <c r="AA45" s="7"/>
      <c r="AB45" s="7"/>
      <c r="AC45" s="8"/>
      <c r="AD45" s="12"/>
      <c r="AE45" s="12"/>
      <c r="AF45" s="7"/>
      <c r="AG45" s="12"/>
      <c r="AH45" s="12"/>
      <c r="AI45" s="7"/>
      <c r="AJ45" s="8"/>
      <c r="AK45" s="12"/>
      <c r="AL45" s="12"/>
      <c r="AM45" s="7"/>
      <c r="AN45" s="8"/>
      <c r="AO45" s="12"/>
      <c r="AP45" s="12"/>
      <c r="AQ45" s="7"/>
      <c r="AR45" s="8"/>
      <c r="AS45" s="12"/>
      <c r="AT45" s="12"/>
      <c r="AU45" s="7"/>
      <c r="AV45" s="8"/>
      <c r="AW45" s="12"/>
      <c r="AX45" s="46"/>
      <c r="AY45" s="7"/>
      <c r="AZ45" s="8"/>
      <c r="BA45" s="12"/>
      <c r="BB45" s="12"/>
      <c r="BC45" s="7"/>
      <c r="BD45" s="8"/>
      <c r="BE45" s="12"/>
      <c r="BF45" s="12"/>
      <c r="BG45" s="7"/>
      <c r="BH45" s="45">
        <v>4</v>
      </c>
      <c r="BI45" s="12"/>
      <c r="BJ45" s="12"/>
      <c r="BK45" s="7"/>
    </row>
    <row r="46" spans="1:63" ht="49.2" customHeight="1" x14ac:dyDescent="0.25">
      <c r="A46" s="56"/>
      <c r="B46" s="50"/>
      <c r="C46" s="50"/>
      <c r="D46" s="58"/>
      <c r="E46" s="57"/>
      <c r="F46" s="60"/>
      <c r="G46" s="8" t="s">
        <v>11</v>
      </c>
      <c r="H46" s="8"/>
      <c r="I46" s="8"/>
      <c r="J46" s="8"/>
      <c r="K46" s="8"/>
      <c r="L46" s="8"/>
      <c r="M46" s="8"/>
      <c r="N46" s="8"/>
      <c r="O46" s="8"/>
      <c r="P46" s="8"/>
      <c r="Q46" s="12"/>
      <c r="R46" s="8"/>
      <c r="S46" s="8"/>
      <c r="T46" s="8"/>
      <c r="U46" s="12"/>
      <c r="V46" s="12"/>
      <c r="W46" s="7"/>
      <c r="X46" s="7"/>
      <c r="Y46" s="7"/>
      <c r="Z46" s="18"/>
      <c r="AA46" s="18"/>
      <c r="AB46" s="14"/>
      <c r="AC46" s="8"/>
      <c r="AD46" s="12"/>
      <c r="AE46" s="12"/>
      <c r="AF46" s="7"/>
      <c r="AG46" s="12"/>
      <c r="AH46" s="12"/>
      <c r="AI46" s="7"/>
      <c r="AJ46" s="8"/>
      <c r="AK46" s="12"/>
      <c r="AL46" s="12"/>
      <c r="AM46" s="7"/>
      <c r="AN46" s="8"/>
      <c r="AO46" s="12"/>
      <c r="AP46" s="12"/>
      <c r="AQ46" s="7"/>
      <c r="AR46" s="8"/>
      <c r="AS46" s="12"/>
      <c r="AT46" s="12"/>
      <c r="AU46" s="7"/>
      <c r="AV46" s="8"/>
      <c r="AW46" s="12"/>
      <c r="AX46" s="12"/>
      <c r="AY46" s="7"/>
      <c r="AZ46" s="8"/>
      <c r="BA46" s="12"/>
      <c r="BB46" s="12"/>
      <c r="BC46" s="7"/>
      <c r="BD46" s="8"/>
      <c r="BE46" s="12"/>
      <c r="BF46" s="12"/>
      <c r="BG46" s="7"/>
      <c r="BH46" s="39">
        <v>4</v>
      </c>
      <c r="BI46" s="12"/>
      <c r="BJ46" s="12"/>
      <c r="BK46" s="7"/>
    </row>
    <row r="47" spans="1:63" ht="55.2" customHeight="1" x14ac:dyDescent="0.25">
      <c r="A47" s="55">
        <f t="shared" ref="A47:A57" si="4">A45+1</f>
        <v>21</v>
      </c>
      <c r="B47" s="50" t="s">
        <v>29</v>
      </c>
      <c r="C47" s="50"/>
      <c r="D47" s="57" t="s">
        <v>24</v>
      </c>
      <c r="E47" s="57">
        <v>1</v>
      </c>
      <c r="F47" s="60">
        <f t="shared" ref="F47:F51" si="5">E47*2700000</f>
        <v>2700000</v>
      </c>
      <c r="G47" s="8" t="s">
        <v>10</v>
      </c>
      <c r="H47" s="8"/>
      <c r="I47" s="8"/>
      <c r="J47" s="8"/>
      <c r="K47" s="8"/>
      <c r="L47" s="8"/>
      <c r="M47" s="8"/>
      <c r="N47" s="8"/>
      <c r="O47" s="8"/>
      <c r="P47" s="8"/>
      <c r="Q47" s="12"/>
      <c r="R47" s="8"/>
      <c r="S47" s="8"/>
      <c r="T47" s="8"/>
      <c r="U47" s="12"/>
      <c r="V47" s="12"/>
      <c r="W47" s="7"/>
      <c r="X47" s="7"/>
      <c r="Y47" s="7"/>
      <c r="Z47" s="18"/>
      <c r="AA47" s="18"/>
      <c r="AB47" s="14"/>
      <c r="AC47" s="7"/>
      <c r="AD47" s="12"/>
      <c r="AE47" s="12"/>
      <c r="AF47" s="7"/>
      <c r="AG47" s="12"/>
      <c r="AH47" s="12"/>
      <c r="AI47" s="7"/>
      <c r="AJ47" s="8"/>
      <c r="AK47" s="12"/>
      <c r="AL47" s="12"/>
      <c r="AM47" s="7"/>
      <c r="AN47" s="8"/>
      <c r="AO47" s="12"/>
      <c r="AP47" s="12"/>
      <c r="AQ47" s="7"/>
      <c r="AR47" s="8"/>
      <c r="AS47" s="12"/>
      <c r="AT47" s="12"/>
      <c r="AU47" s="7"/>
      <c r="AV47" s="8"/>
      <c r="AW47" s="12"/>
      <c r="AX47" s="12"/>
      <c r="AY47" s="7"/>
      <c r="AZ47" s="8"/>
      <c r="BA47" s="12"/>
      <c r="BB47" s="12"/>
      <c r="BC47" s="7"/>
      <c r="BD47" s="8"/>
      <c r="BE47" s="12"/>
      <c r="BF47" s="12"/>
      <c r="BG47" s="7"/>
      <c r="BH47" s="8"/>
      <c r="BI47" s="12"/>
      <c r="BJ47" s="46">
        <v>23</v>
      </c>
      <c r="BK47" s="7"/>
    </row>
    <row r="48" spans="1:63" ht="51.6" customHeight="1" x14ac:dyDescent="0.25">
      <c r="A48" s="56"/>
      <c r="B48" s="50"/>
      <c r="C48" s="50"/>
      <c r="D48" s="58"/>
      <c r="E48" s="57"/>
      <c r="F48" s="60"/>
      <c r="G48" s="8" t="s">
        <v>11</v>
      </c>
      <c r="H48" s="8"/>
      <c r="I48" s="8"/>
      <c r="J48" s="8"/>
      <c r="K48" s="8"/>
      <c r="L48" s="8"/>
      <c r="M48" s="8"/>
      <c r="N48" s="8"/>
      <c r="O48" s="8"/>
      <c r="P48" s="8"/>
      <c r="Q48" s="12"/>
      <c r="R48" s="8"/>
      <c r="S48" s="8"/>
      <c r="T48" s="8"/>
      <c r="U48" s="12"/>
      <c r="V48" s="12"/>
      <c r="W48" s="8"/>
      <c r="X48" s="7"/>
      <c r="Y48" s="7"/>
      <c r="Z48" s="7"/>
      <c r="AA48" s="7"/>
      <c r="AB48" s="14"/>
      <c r="AC48" s="8"/>
      <c r="AD48" s="12"/>
      <c r="AE48" s="12"/>
      <c r="AF48" s="7"/>
      <c r="AG48" s="12"/>
      <c r="AH48" s="12"/>
      <c r="AI48" s="7"/>
      <c r="AJ48" s="8"/>
      <c r="AK48" s="12"/>
      <c r="AL48" s="12"/>
      <c r="AM48" s="8"/>
      <c r="AN48" s="8"/>
      <c r="AO48" s="12"/>
      <c r="AP48" s="12"/>
      <c r="AQ48" s="8"/>
      <c r="AR48" s="8"/>
      <c r="AS48" s="12"/>
      <c r="AT48" s="12"/>
      <c r="AU48" s="8"/>
      <c r="AV48" s="8"/>
      <c r="AW48" s="12"/>
      <c r="AX48" s="12"/>
      <c r="AY48" s="8"/>
      <c r="AZ48" s="8"/>
      <c r="BA48" s="12"/>
      <c r="BB48" s="12"/>
      <c r="BC48" s="8"/>
      <c r="BD48" s="8"/>
      <c r="BE48" s="12"/>
      <c r="BF48" s="12"/>
      <c r="BG48" s="8"/>
      <c r="BH48" s="8"/>
      <c r="BI48" s="12"/>
      <c r="BJ48" s="12"/>
      <c r="BK48" s="8"/>
    </row>
    <row r="49" spans="1:63" ht="57.6" customHeight="1" x14ac:dyDescent="0.25">
      <c r="A49" s="55">
        <f t="shared" si="4"/>
        <v>22</v>
      </c>
      <c r="B49" s="50" t="s">
        <v>30</v>
      </c>
      <c r="C49" s="50"/>
      <c r="D49" s="73" t="s">
        <v>31</v>
      </c>
      <c r="E49" s="76"/>
      <c r="F49" s="60">
        <f t="shared" si="5"/>
        <v>0</v>
      </c>
      <c r="G49" s="8" t="s">
        <v>10</v>
      </c>
      <c r="H49" s="8"/>
      <c r="I49" s="8"/>
      <c r="J49" s="8"/>
      <c r="K49" s="8"/>
      <c r="L49" s="8"/>
      <c r="M49" s="8"/>
      <c r="N49" s="8"/>
      <c r="O49" s="8"/>
      <c r="P49" s="8"/>
      <c r="Q49" s="12"/>
      <c r="R49" s="8"/>
      <c r="S49" s="8"/>
      <c r="T49" s="8"/>
      <c r="U49" s="12"/>
      <c r="V49" s="12"/>
      <c r="W49" s="8"/>
      <c r="X49" s="7"/>
      <c r="Y49" s="14"/>
      <c r="Z49" s="7"/>
      <c r="AA49" s="7"/>
      <c r="AB49" s="14"/>
      <c r="AC49" s="8"/>
      <c r="AD49" s="7"/>
      <c r="AE49" s="7"/>
      <c r="AF49" s="7"/>
      <c r="AG49" s="12"/>
      <c r="AH49" s="12"/>
      <c r="AI49" s="7"/>
      <c r="AJ49" s="8"/>
      <c r="AK49" s="12"/>
      <c r="AL49" s="12"/>
      <c r="AM49" s="8"/>
      <c r="AN49" s="8"/>
      <c r="AO49" s="12"/>
      <c r="AP49" s="12"/>
      <c r="AQ49" s="8"/>
      <c r="AR49" s="8"/>
      <c r="AS49" s="12"/>
      <c r="AT49" s="12"/>
      <c r="AU49" s="8"/>
      <c r="AV49" s="8"/>
      <c r="AW49" s="12"/>
      <c r="AX49" s="12"/>
      <c r="AY49" s="8"/>
      <c r="AZ49" s="8"/>
      <c r="BA49" s="12"/>
      <c r="BB49" s="12"/>
      <c r="BC49" s="8"/>
      <c r="BD49" s="8"/>
      <c r="BE49" s="12"/>
      <c r="BF49" s="12"/>
      <c r="BG49" s="8"/>
      <c r="BH49" s="8"/>
      <c r="BI49" s="12"/>
      <c r="BJ49" s="12"/>
      <c r="BK49" s="8"/>
    </row>
    <row r="50" spans="1:63" ht="66" customHeight="1" x14ac:dyDescent="0.25">
      <c r="A50" s="56"/>
      <c r="B50" s="50"/>
      <c r="C50" s="50"/>
      <c r="D50" s="74"/>
      <c r="E50" s="76"/>
      <c r="F50" s="60"/>
      <c r="G50" s="8" t="s">
        <v>11</v>
      </c>
      <c r="H50" s="8"/>
      <c r="I50" s="8"/>
      <c r="J50" s="8"/>
      <c r="K50" s="8"/>
      <c r="L50" s="8"/>
      <c r="M50" s="8"/>
      <c r="N50" s="8"/>
      <c r="O50" s="8"/>
      <c r="P50" s="8"/>
      <c r="Q50" s="12"/>
      <c r="R50" s="8"/>
      <c r="S50" s="8"/>
      <c r="T50" s="8"/>
      <c r="U50" s="12"/>
      <c r="V50" s="12"/>
      <c r="W50" s="8"/>
      <c r="X50" s="7"/>
      <c r="Y50" s="14"/>
      <c r="Z50" s="7"/>
      <c r="AA50" s="7"/>
      <c r="AB50" s="14"/>
      <c r="AC50" s="7"/>
      <c r="AD50" s="7"/>
      <c r="AE50" s="7"/>
      <c r="AF50" s="7"/>
      <c r="AG50" s="12"/>
      <c r="AH50" s="12"/>
      <c r="AI50" s="7"/>
      <c r="AJ50" s="8"/>
      <c r="AK50" s="12"/>
      <c r="AL50" s="12"/>
      <c r="AM50" s="8"/>
      <c r="AN50" s="8"/>
      <c r="AO50" s="12"/>
      <c r="AP50" s="12"/>
      <c r="AQ50" s="8"/>
      <c r="AR50" s="8"/>
      <c r="AS50" s="12"/>
      <c r="AT50" s="12"/>
      <c r="AU50" s="8"/>
      <c r="AV50" s="8"/>
      <c r="AW50" s="12"/>
      <c r="AX50" s="12"/>
      <c r="AY50" s="8"/>
      <c r="AZ50" s="8"/>
      <c r="BA50" s="12"/>
      <c r="BB50" s="12"/>
      <c r="BC50" s="8"/>
      <c r="BD50" s="8"/>
      <c r="BE50" s="12"/>
      <c r="BF50" s="12"/>
      <c r="BG50" s="8"/>
      <c r="BH50" s="8"/>
      <c r="BI50" s="12"/>
      <c r="BJ50" s="12"/>
      <c r="BK50" s="8"/>
    </row>
    <row r="51" spans="1:63" ht="52.2" customHeight="1" x14ac:dyDescent="0.25">
      <c r="A51" s="55">
        <f t="shared" si="4"/>
        <v>23</v>
      </c>
      <c r="B51" s="50" t="s">
        <v>32</v>
      </c>
      <c r="C51" s="50"/>
      <c r="D51" s="57" t="s">
        <v>24</v>
      </c>
      <c r="E51" s="57">
        <v>1</v>
      </c>
      <c r="F51" s="60">
        <f t="shared" si="5"/>
        <v>2700000</v>
      </c>
      <c r="G51" s="8" t="s">
        <v>10</v>
      </c>
      <c r="H51" s="8"/>
      <c r="I51" s="8"/>
      <c r="J51" s="8"/>
      <c r="K51" s="8"/>
      <c r="L51" s="8"/>
      <c r="M51" s="8"/>
      <c r="N51" s="8"/>
      <c r="O51" s="8"/>
      <c r="P51" s="8"/>
      <c r="Q51" s="12"/>
      <c r="R51" s="8"/>
      <c r="S51" s="8"/>
      <c r="T51" s="8"/>
      <c r="U51" s="12"/>
      <c r="V51" s="12"/>
      <c r="W51" s="8"/>
      <c r="X51" s="7"/>
      <c r="Y51" s="7"/>
      <c r="Z51" s="7"/>
      <c r="AA51" s="7"/>
      <c r="AB51" s="14"/>
      <c r="AC51" s="7"/>
      <c r="AD51" s="7"/>
      <c r="AE51" s="7"/>
      <c r="AF51" s="7"/>
      <c r="AG51" s="12"/>
      <c r="AH51" s="12"/>
      <c r="AI51" s="7"/>
      <c r="AJ51" s="8"/>
      <c r="AK51" s="12"/>
      <c r="AL51" s="12"/>
      <c r="AM51" s="8"/>
      <c r="AN51" s="8"/>
      <c r="AO51" s="12"/>
      <c r="AP51" s="12"/>
      <c r="AQ51" s="8"/>
      <c r="AR51" s="8"/>
      <c r="AS51" s="12"/>
      <c r="AT51" s="12"/>
      <c r="AU51" s="8"/>
      <c r="AV51" s="8"/>
      <c r="AW51" s="12"/>
      <c r="AX51" s="12"/>
      <c r="AY51" s="8"/>
      <c r="AZ51" s="8"/>
      <c r="BA51" s="12"/>
      <c r="BB51" s="12"/>
      <c r="BC51" s="8"/>
      <c r="BD51" s="8"/>
      <c r="BE51" s="12"/>
      <c r="BF51" s="12"/>
      <c r="BG51" s="8"/>
      <c r="BH51" s="8"/>
      <c r="BI51" s="12"/>
      <c r="BJ51" s="12"/>
      <c r="BK51" s="8"/>
    </row>
    <row r="52" spans="1:63" ht="47.4" customHeight="1" x14ac:dyDescent="0.25">
      <c r="A52" s="56"/>
      <c r="B52" s="50"/>
      <c r="C52" s="50"/>
      <c r="D52" s="58"/>
      <c r="E52" s="57"/>
      <c r="F52" s="60"/>
      <c r="G52" s="8" t="s">
        <v>11</v>
      </c>
      <c r="H52" s="8"/>
      <c r="I52" s="8"/>
      <c r="J52" s="8"/>
      <c r="K52" s="8"/>
      <c r="L52" s="8"/>
      <c r="M52" s="8"/>
      <c r="N52" s="8"/>
      <c r="O52" s="8"/>
      <c r="P52" s="8"/>
      <c r="Q52" s="12"/>
      <c r="R52" s="8"/>
      <c r="S52" s="8"/>
      <c r="T52" s="8"/>
      <c r="U52" s="12"/>
      <c r="V52" s="12"/>
      <c r="W52" s="8"/>
      <c r="X52" s="7"/>
      <c r="Y52" s="7"/>
      <c r="Z52" s="7"/>
      <c r="AA52" s="7"/>
      <c r="AB52" s="7"/>
      <c r="AC52" s="14"/>
      <c r="AD52" s="8"/>
      <c r="AE52" s="12"/>
      <c r="AF52" s="7"/>
      <c r="AG52" s="12"/>
      <c r="AH52" s="12"/>
      <c r="AI52" s="7"/>
      <c r="AJ52" s="8"/>
      <c r="AK52" s="12"/>
      <c r="AL52" s="12"/>
      <c r="AM52" s="8"/>
      <c r="AN52" s="8"/>
      <c r="AO52" s="12"/>
      <c r="AP52" s="12"/>
      <c r="AQ52" s="8"/>
      <c r="AR52" s="8"/>
      <c r="AS52" s="12"/>
      <c r="AT52" s="12"/>
      <c r="AU52" s="8"/>
      <c r="AV52" s="8"/>
      <c r="AW52" s="12"/>
      <c r="AX52" s="12"/>
      <c r="AY52" s="8"/>
      <c r="AZ52" s="8"/>
      <c r="BA52" s="12"/>
      <c r="BB52" s="12"/>
      <c r="BC52" s="8"/>
      <c r="BD52" s="8"/>
      <c r="BE52" s="12"/>
      <c r="BF52" s="12"/>
      <c r="BG52" s="8"/>
      <c r="BH52" s="8"/>
      <c r="BI52" s="12"/>
      <c r="BJ52" s="12"/>
      <c r="BK52" s="8"/>
    </row>
    <row r="53" spans="1:63" ht="48" customHeight="1" x14ac:dyDescent="0.25">
      <c r="A53" s="55">
        <f t="shared" si="4"/>
        <v>24</v>
      </c>
      <c r="B53" s="50" t="s">
        <v>33</v>
      </c>
      <c r="C53" s="50"/>
      <c r="D53" s="73" t="s">
        <v>34</v>
      </c>
      <c r="E53" s="76"/>
      <c r="F53" s="60">
        <f>E53*2800000</f>
        <v>0</v>
      </c>
      <c r="G53" s="8" t="s">
        <v>10</v>
      </c>
      <c r="H53" s="8"/>
      <c r="I53" s="8"/>
      <c r="J53" s="8"/>
      <c r="K53" s="8"/>
      <c r="L53" s="8"/>
      <c r="M53" s="8"/>
      <c r="N53" s="8"/>
      <c r="O53" s="8"/>
      <c r="P53" s="8"/>
      <c r="Q53" s="12"/>
      <c r="R53" s="8"/>
      <c r="S53" s="8"/>
      <c r="T53" s="8"/>
      <c r="U53" s="12"/>
      <c r="V53" s="12"/>
      <c r="W53" s="8"/>
      <c r="X53" s="7"/>
      <c r="Y53" s="7"/>
      <c r="Z53" s="7"/>
      <c r="AA53" s="7"/>
      <c r="AB53" s="7"/>
      <c r="AC53" s="8"/>
      <c r="AD53" s="8"/>
      <c r="AE53" s="12"/>
      <c r="AF53" s="7"/>
      <c r="AG53" s="12"/>
      <c r="AH53" s="12"/>
      <c r="AI53" s="7"/>
      <c r="AJ53" s="8"/>
      <c r="AK53" s="12"/>
      <c r="AL53" s="12"/>
      <c r="AM53" s="8"/>
      <c r="AN53" s="8"/>
      <c r="AO53" s="12"/>
      <c r="AP53" s="12"/>
      <c r="AQ53" s="8"/>
      <c r="AR53" s="8"/>
      <c r="AS53" s="12"/>
      <c r="AT53" s="12"/>
      <c r="AU53" s="8"/>
      <c r="AV53" s="8"/>
      <c r="AW53" s="12"/>
      <c r="AX53" s="12"/>
      <c r="AY53" s="8"/>
      <c r="AZ53" s="8"/>
      <c r="BA53" s="12"/>
      <c r="BB53" s="12"/>
      <c r="BC53" s="8"/>
      <c r="BD53" s="8"/>
      <c r="BE53" s="12"/>
      <c r="BF53" s="12"/>
      <c r="BG53" s="8"/>
      <c r="BH53" s="8"/>
      <c r="BI53" s="12"/>
      <c r="BJ53" s="12"/>
      <c r="BK53" s="8"/>
    </row>
    <row r="54" spans="1:63" ht="51" customHeight="1" x14ac:dyDescent="0.25">
      <c r="A54" s="56"/>
      <c r="B54" s="50"/>
      <c r="C54" s="50"/>
      <c r="D54" s="74"/>
      <c r="E54" s="76"/>
      <c r="F54" s="60"/>
      <c r="G54" s="8" t="s">
        <v>11</v>
      </c>
      <c r="H54" s="8"/>
      <c r="I54" s="8"/>
      <c r="J54" s="8"/>
      <c r="K54" s="8"/>
      <c r="L54" s="8"/>
      <c r="M54" s="8"/>
      <c r="N54" s="8"/>
      <c r="O54" s="8"/>
      <c r="P54" s="8"/>
      <c r="Q54" s="12"/>
      <c r="R54" s="8"/>
      <c r="S54" s="8"/>
      <c r="T54" s="8"/>
      <c r="U54" s="12"/>
      <c r="V54" s="12"/>
      <c r="W54" s="8"/>
      <c r="X54" s="7"/>
      <c r="Y54" s="7"/>
      <c r="Z54" s="7"/>
      <c r="AA54" s="7"/>
      <c r="AB54" s="7"/>
      <c r="AC54" s="8"/>
      <c r="AD54" s="8"/>
      <c r="AE54" s="12"/>
      <c r="AF54" s="7"/>
      <c r="AG54" s="7"/>
      <c r="AH54" s="12"/>
      <c r="AI54" s="7"/>
      <c r="AJ54" s="8"/>
      <c r="AK54" s="12"/>
      <c r="AL54" s="12"/>
      <c r="AM54" s="8"/>
      <c r="AN54" s="8"/>
      <c r="AO54" s="12"/>
      <c r="AP54" s="12"/>
      <c r="AQ54" s="8"/>
      <c r="AR54" s="8"/>
      <c r="AS54" s="12"/>
      <c r="AT54" s="12"/>
      <c r="AU54" s="8"/>
      <c r="AV54" s="8"/>
      <c r="AW54" s="12"/>
      <c r="AX54" s="12"/>
      <c r="AY54" s="8"/>
      <c r="AZ54" s="8"/>
      <c r="BA54" s="12"/>
      <c r="BB54" s="12"/>
      <c r="BC54" s="8"/>
      <c r="BD54" s="8"/>
      <c r="BE54" s="12"/>
      <c r="BF54" s="12"/>
      <c r="BG54" s="8"/>
      <c r="BH54" s="8"/>
      <c r="BI54" s="12"/>
      <c r="BJ54" s="12"/>
      <c r="BK54" s="8"/>
    </row>
    <row r="55" spans="1:63" ht="51.6" customHeight="1" x14ac:dyDescent="0.25">
      <c r="A55" s="55">
        <f t="shared" si="4"/>
        <v>25</v>
      </c>
      <c r="B55" s="50" t="s">
        <v>35</v>
      </c>
      <c r="C55" s="50"/>
      <c r="D55" s="57" t="s">
        <v>9</v>
      </c>
      <c r="E55" s="57">
        <v>1</v>
      </c>
      <c r="F55" s="60">
        <f>E55*2700000</f>
        <v>2700000</v>
      </c>
      <c r="G55" s="8" t="s">
        <v>10</v>
      </c>
      <c r="H55" s="8"/>
      <c r="I55" s="8"/>
      <c r="J55" s="8"/>
      <c r="K55" s="8"/>
      <c r="L55" s="8"/>
      <c r="M55" s="8"/>
      <c r="N55" s="8"/>
      <c r="O55" s="8"/>
      <c r="P55" s="8"/>
      <c r="Q55" s="12"/>
      <c r="R55" s="8"/>
      <c r="S55" s="8"/>
      <c r="T55" s="8"/>
      <c r="U55" s="12"/>
      <c r="V55" s="12"/>
      <c r="W55" s="8"/>
      <c r="X55" s="8"/>
      <c r="Y55" s="7"/>
      <c r="Z55" s="8"/>
      <c r="AA55" s="7"/>
      <c r="AB55" s="7"/>
      <c r="AC55" s="7"/>
      <c r="AD55" s="8"/>
      <c r="AE55" s="44"/>
      <c r="AF55" s="7"/>
      <c r="AG55" s="7"/>
      <c r="AH55" s="7"/>
      <c r="AI55" s="7"/>
      <c r="AJ55" s="8"/>
      <c r="AK55" s="12"/>
      <c r="AL55" s="12"/>
      <c r="AM55" s="8"/>
      <c r="AN55" s="8"/>
      <c r="AO55" s="12"/>
      <c r="AP55" s="12"/>
      <c r="AQ55" s="8"/>
      <c r="AR55" s="8"/>
      <c r="AS55" s="12"/>
      <c r="AT55" s="12"/>
      <c r="AU55" s="8"/>
      <c r="AV55" s="8"/>
      <c r="AW55" s="12"/>
      <c r="AX55" s="12"/>
      <c r="AY55" s="8"/>
      <c r="AZ55" s="8"/>
      <c r="BA55" s="12"/>
      <c r="BB55" s="12"/>
      <c r="BC55" s="8"/>
      <c r="BD55" s="8"/>
      <c r="BE55" s="12"/>
      <c r="BF55" s="12"/>
      <c r="BG55" s="8"/>
      <c r="BH55" s="8"/>
      <c r="BI55" s="12"/>
      <c r="BJ55" s="12"/>
      <c r="BK55" s="8"/>
    </row>
    <row r="56" spans="1:63" ht="55.8" customHeight="1" x14ac:dyDescent="0.25">
      <c r="A56" s="56"/>
      <c r="B56" s="50"/>
      <c r="C56" s="50"/>
      <c r="D56" s="58"/>
      <c r="E56" s="57"/>
      <c r="F56" s="60"/>
      <c r="G56" s="8" t="s">
        <v>11</v>
      </c>
      <c r="H56" s="8"/>
      <c r="I56" s="8"/>
      <c r="J56" s="8"/>
      <c r="K56" s="8"/>
      <c r="L56" s="8"/>
      <c r="M56" s="8"/>
      <c r="N56" s="8"/>
      <c r="O56" s="8"/>
      <c r="P56" s="8"/>
      <c r="Q56" s="12"/>
      <c r="R56" s="8"/>
      <c r="S56" s="8"/>
      <c r="T56" s="8"/>
      <c r="U56" s="12"/>
      <c r="V56" s="12"/>
      <c r="W56" s="8"/>
      <c r="X56" s="8"/>
      <c r="Y56" s="8"/>
      <c r="Z56" s="8"/>
      <c r="AA56" s="8"/>
      <c r="AB56" s="8"/>
      <c r="AC56" s="8"/>
      <c r="AD56" s="7"/>
      <c r="AE56" s="7"/>
      <c r="AF56" s="7"/>
      <c r="AG56" s="7"/>
      <c r="AH56" s="44"/>
      <c r="AI56" s="7"/>
      <c r="AJ56" s="8"/>
      <c r="AK56" s="12"/>
      <c r="AL56" s="12"/>
      <c r="AM56" s="8"/>
      <c r="AN56" s="8"/>
      <c r="AO56" s="12"/>
      <c r="AP56" s="12"/>
      <c r="AQ56" s="8"/>
      <c r="AR56" s="8"/>
      <c r="AS56" s="12"/>
      <c r="AT56" s="12"/>
      <c r="AU56" s="8"/>
      <c r="AV56" s="8"/>
      <c r="AW56" s="12"/>
      <c r="AX56" s="12"/>
      <c r="AY56" s="8"/>
      <c r="AZ56" s="8"/>
      <c r="BA56" s="12"/>
      <c r="BB56" s="12"/>
      <c r="BC56" s="8"/>
      <c r="BD56" s="8"/>
      <c r="BE56" s="12"/>
      <c r="BF56" s="12"/>
      <c r="BG56" s="8"/>
      <c r="BH56" s="8"/>
      <c r="BI56" s="12"/>
      <c r="BJ56" s="12"/>
      <c r="BK56" s="8"/>
    </row>
    <row r="57" spans="1:63" ht="39" customHeight="1" x14ac:dyDescent="0.25">
      <c r="A57" s="55">
        <f t="shared" si="4"/>
        <v>26</v>
      </c>
      <c r="B57" s="50" t="s">
        <v>36</v>
      </c>
      <c r="C57" s="50"/>
      <c r="D57" s="57" t="s">
        <v>9</v>
      </c>
      <c r="E57" s="57"/>
      <c r="F57" s="60">
        <f>E57*2700000</f>
        <v>0</v>
      </c>
      <c r="G57" s="8" t="s">
        <v>10</v>
      </c>
      <c r="H57" s="8"/>
      <c r="I57" s="8"/>
      <c r="J57" s="8"/>
      <c r="K57" s="8"/>
      <c r="L57" s="8"/>
      <c r="M57" s="8"/>
      <c r="N57" s="8"/>
      <c r="O57" s="8"/>
      <c r="P57" s="8"/>
      <c r="Q57" s="12"/>
      <c r="R57" s="8"/>
      <c r="S57" s="8"/>
      <c r="T57" s="8"/>
      <c r="U57" s="12"/>
      <c r="V57" s="12"/>
      <c r="W57" s="8"/>
      <c r="X57" s="8"/>
      <c r="Y57" s="8"/>
      <c r="Z57" s="8"/>
      <c r="AA57" s="8"/>
      <c r="AB57" s="7"/>
      <c r="AC57" s="8"/>
      <c r="AD57" s="7"/>
      <c r="AE57" s="7"/>
      <c r="AF57" s="8"/>
      <c r="AG57" s="8"/>
      <c r="AH57" s="7"/>
      <c r="AI57" s="7"/>
      <c r="AJ57" s="8"/>
      <c r="AK57" s="12"/>
      <c r="AL57" s="12"/>
      <c r="AM57" s="8"/>
      <c r="AN57" s="8"/>
      <c r="AO57" s="12"/>
      <c r="AP57" s="12"/>
      <c r="AQ57" s="8"/>
      <c r="AR57" s="8"/>
      <c r="AS57" s="12"/>
      <c r="AT57" s="12"/>
      <c r="AU57" s="8"/>
      <c r="AV57" s="8"/>
      <c r="AW57" s="12"/>
      <c r="AX57" s="12"/>
      <c r="AY57" s="8"/>
      <c r="AZ57" s="8"/>
      <c r="BA57" s="12"/>
      <c r="BB57" s="12"/>
      <c r="BC57" s="8"/>
      <c r="BD57" s="8"/>
      <c r="BE57" s="12"/>
      <c r="BF57" s="12"/>
      <c r="BG57" s="8"/>
      <c r="BH57" s="8"/>
      <c r="BI57" s="12"/>
      <c r="BJ57" s="12"/>
      <c r="BK57" s="8"/>
    </row>
    <row r="58" spans="1:63" ht="41.4" customHeight="1" x14ac:dyDescent="0.25">
      <c r="A58" s="56"/>
      <c r="B58" s="50"/>
      <c r="C58" s="50"/>
      <c r="D58" s="58"/>
      <c r="E58" s="57"/>
      <c r="F58" s="60"/>
      <c r="G58" s="8" t="s">
        <v>11</v>
      </c>
      <c r="H58" s="8"/>
      <c r="I58" s="8"/>
      <c r="J58" s="8"/>
      <c r="K58" s="8"/>
      <c r="L58" s="8"/>
      <c r="M58" s="8"/>
      <c r="N58" s="8"/>
      <c r="O58" s="8"/>
      <c r="P58" s="8"/>
      <c r="Q58" s="12"/>
      <c r="R58" s="12"/>
      <c r="S58" s="8"/>
      <c r="T58" s="8"/>
      <c r="U58" s="8"/>
      <c r="V58" s="8"/>
      <c r="W58" s="8"/>
      <c r="X58" s="8"/>
      <c r="Y58" s="8"/>
      <c r="Z58" s="7"/>
      <c r="AA58" s="7"/>
      <c r="AB58" s="7"/>
      <c r="AC58" s="8"/>
      <c r="AD58" s="44"/>
      <c r="AE58" s="7"/>
      <c r="AF58" s="7"/>
      <c r="AG58" s="8"/>
      <c r="AH58" s="44"/>
      <c r="AI58" s="7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</row>
    <row r="59" spans="1:63" ht="33" customHeight="1" x14ac:dyDescent="0.45">
      <c r="A59" s="19"/>
      <c r="B59" s="20"/>
      <c r="C59" s="72" t="s">
        <v>37</v>
      </c>
      <c r="D59" s="72"/>
      <c r="E59" s="21">
        <f>SUM(E9:E58)</f>
        <v>21</v>
      </c>
      <c r="F59" s="22">
        <f>SUM(F9:F58)</f>
        <v>79300000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7"/>
      <c r="R59" s="27"/>
      <c r="S59" s="23"/>
      <c r="T59" s="23"/>
      <c r="U59" s="23"/>
      <c r="V59" s="23"/>
      <c r="W59" s="23"/>
      <c r="X59" s="23"/>
      <c r="Y59" s="23"/>
      <c r="Z59" s="29"/>
      <c r="AA59" s="29"/>
      <c r="AB59" s="29"/>
      <c r="AC59" s="23"/>
      <c r="AD59" s="30"/>
      <c r="AE59" s="31"/>
      <c r="AF59" s="29"/>
      <c r="AG59" s="23"/>
      <c r="AH59" s="30"/>
      <c r="AI59" s="31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</row>
    <row r="60" spans="1:63" ht="33" customHeight="1" x14ac:dyDescent="0.45">
      <c r="A60" s="19"/>
      <c r="B60" s="20"/>
      <c r="C60" s="72" t="s">
        <v>38</v>
      </c>
      <c r="D60" s="72"/>
      <c r="E60" s="21"/>
      <c r="F60" s="22">
        <f>17%*F59</f>
        <v>13481000.000000002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7"/>
      <c r="R60" s="27"/>
      <c r="S60" s="23"/>
      <c r="T60" s="23"/>
      <c r="U60" s="23"/>
      <c r="V60" s="23"/>
      <c r="W60" s="23"/>
      <c r="X60" s="23"/>
      <c r="Y60" s="23"/>
      <c r="Z60" s="29"/>
      <c r="AA60" s="29"/>
      <c r="AB60" s="29"/>
      <c r="AC60" s="23"/>
      <c r="AD60" s="30"/>
      <c r="AE60" s="29"/>
      <c r="AF60" s="29"/>
      <c r="AG60" s="23"/>
      <c r="AH60" s="30"/>
      <c r="AI60" s="29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</row>
    <row r="61" spans="1:63" ht="33" customHeight="1" x14ac:dyDescent="0.45">
      <c r="A61" s="19"/>
      <c r="B61" s="20"/>
      <c r="C61" s="67" t="s">
        <v>46</v>
      </c>
      <c r="D61" s="68"/>
      <c r="E61" s="34"/>
      <c r="F61" s="35">
        <f>F59-F60</f>
        <v>65819000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7"/>
      <c r="R61" s="27"/>
      <c r="S61" s="23"/>
      <c r="T61" s="23"/>
      <c r="U61" s="23"/>
      <c r="V61" s="23"/>
      <c r="W61" s="23"/>
      <c r="X61" s="23"/>
      <c r="Y61" s="23"/>
      <c r="Z61" s="29"/>
      <c r="AA61" s="29"/>
      <c r="AB61" s="29"/>
      <c r="AC61" s="23"/>
      <c r="AD61" s="30"/>
      <c r="AE61" s="29"/>
      <c r="AF61" s="29"/>
      <c r="AG61" s="23"/>
      <c r="AH61" s="30"/>
      <c r="AI61" s="29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</row>
    <row r="62" spans="1:63" ht="58.2" customHeight="1" x14ac:dyDescent="0.45">
      <c r="A62" s="19"/>
      <c r="B62" s="20"/>
      <c r="C62" s="69" t="s">
        <v>48</v>
      </c>
      <c r="D62" s="70"/>
      <c r="E62" s="34">
        <v>5</v>
      </c>
      <c r="F62" s="35">
        <f>5*2500000</f>
        <v>12500000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7"/>
      <c r="R62" s="27"/>
      <c r="S62" s="23"/>
      <c r="T62" s="23"/>
      <c r="U62" s="23"/>
      <c r="V62" s="23"/>
      <c r="W62" s="23"/>
      <c r="X62" s="23"/>
      <c r="Y62" s="23"/>
      <c r="Z62" s="29"/>
      <c r="AA62" s="29"/>
      <c r="AB62" s="29"/>
      <c r="AC62" s="23"/>
      <c r="AD62" s="30"/>
      <c r="AE62" s="29"/>
      <c r="AF62" s="29"/>
      <c r="AG62" s="23"/>
      <c r="AH62" s="30"/>
      <c r="AI62" s="29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</row>
    <row r="63" spans="1:63" ht="45.45" customHeight="1" x14ac:dyDescent="0.45">
      <c r="A63" s="19"/>
      <c r="B63" s="20"/>
      <c r="C63" s="61" t="s">
        <v>39</v>
      </c>
      <c r="D63" s="61"/>
      <c r="E63" s="24"/>
      <c r="F63" s="25">
        <f>F61+F62</f>
        <v>78319000</v>
      </c>
      <c r="G63" s="62"/>
      <c r="H63" s="62"/>
      <c r="I63" s="62"/>
      <c r="J63" s="23"/>
      <c r="K63" s="23"/>
      <c r="L63" s="23"/>
      <c r="M63" s="23"/>
      <c r="N63" s="23"/>
      <c r="O63" s="23"/>
      <c r="P63" s="23"/>
      <c r="Q63" s="27"/>
      <c r="R63" s="27"/>
      <c r="S63" s="23"/>
      <c r="T63" s="23"/>
      <c r="U63" s="23"/>
      <c r="V63" s="23"/>
      <c r="W63" s="23"/>
      <c r="X63" s="23"/>
      <c r="Y63" s="23"/>
      <c r="Z63" s="29"/>
      <c r="AA63" s="29"/>
      <c r="AB63" s="29"/>
      <c r="AC63" s="23"/>
      <c r="AD63" s="30"/>
      <c r="AE63" s="29"/>
      <c r="AF63" s="29"/>
      <c r="AG63" s="23"/>
      <c r="AH63" s="30"/>
      <c r="AI63" s="29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</row>
    <row r="64" spans="1:63" ht="45.45" customHeight="1" x14ac:dyDescent="0.45">
      <c r="A64" s="19"/>
      <c r="B64" s="20"/>
      <c r="C64" s="20"/>
      <c r="D64" s="20"/>
      <c r="E64" s="20"/>
      <c r="F64" s="20"/>
      <c r="G64" s="26"/>
      <c r="H64" s="26"/>
      <c r="I64" s="26"/>
      <c r="J64" s="23"/>
      <c r="K64" s="23"/>
      <c r="L64" s="23"/>
      <c r="M64" s="23"/>
      <c r="N64" s="23"/>
      <c r="O64" s="23"/>
      <c r="P64" s="23"/>
      <c r="Q64" s="27"/>
      <c r="R64" s="27"/>
      <c r="S64" s="23"/>
      <c r="T64" s="23"/>
      <c r="U64" s="23"/>
      <c r="V64" s="23"/>
      <c r="W64" s="23"/>
      <c r="X64" s="23"/>
      <c r="Y64" s="23"/>
      <c r="Z64" s="29"/>
      <c r="AA64" s="29"/>
      <c r="AB64" s="29"/>
      <c r="AC64" s="23"/>
      <c r="AD64" s="30"/>
      <c r="AE64" s="29"/>
      <c r="AF64" s="29"/>
      <c r="AG64" s="23"/>
      <c r="AH64" s="30"/>
      <c r="AI64" s="29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</row>
    <row r="65" spans="1:63" ht="67.2" customHeight="1" x14ac:dyDescent="0.25">
      <c r="A65" s="71" t="s">
        <v>47</v>
      </c>
      <c r="B65" s="71"/>
      <c r="C65" s="71"/>
      <c r="D65" s="71"/>
      <c r="E65" s="71"/>
      <c r="F65" s="71"/>
      <c r="G65" s="26"/>
      <c r="H65" s="26"/>
      <c r="I65" s="26"/>
      <c r="J65" s="23"/>
      <c r="K65" s="23"/>
      <c r="L65" s="23"/>
      <c r="M65" s="23"/>
      <c r="N65" s="23"/>
      <c r="O65" s="23"/>
      <c r="P65" s="23"/>
      <c r="Q65" s="27"/>
      <c r="R65" s="27"/>
      <c r="S65" s="23"/>
      <c r="T65" s="23"/>
      <c r="U65" s="23"/>
      <c r="V65" s="23"/>
      <c r="W65" s="23"/>
      <c r="X65" s="23"/>
      <c r="Y65" s="23"/>
      <c r="Z65" s="29"/>
      <c r="AA65" s="29"/>
      <c r="AB65" s="29"/>
      <c r="AC65" s="23"/>
      <c r="AD65" s="30"/>
      <c r="AE65" s="29"/>
      <c r="AF65" s="29"/>
      <c r="AG65" s="23"/>
      <c r="AH65" s="30"/>
      <c r="AI65" s="29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</row>
    <row r="66" spans="1:63" ht="409.5" customHeight="1" x14ac:dyDescent="0.55000000000000004">
      <c r="A66" s="63"/>
      <c r="B66" s="63"/>
      <c r="C66" s="63"/>
      <c r="D66" s="63"/>
      <c r="E66" s="63"/>
      <c r="F66" s="63"/>
      <c r="G66" s="64"/>
      <c r="H66" s="64"/>
      <c r="I66" s="6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32"/>
      <c r="AB66" s="32"/>
      <c r="AC66" s="33"/>
      <c r="AD66" s="33"/>
      <c r="AE66" s="29"/>
      <c r="AF66" s="32"/>
      <c r="AG66" s="33"/>
      <c r="AH66" s="33"/>
      <c r="AI66" s="29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</row>
    <row r="67" spans="1:63" x14ac:dyDescent="0.25">
      <c r="A67" s="28"/>
    </row>
    <row r="68" spans="1:63" x14ac:dyDescent="0.25">
      <c r="A68" s="28"/>
    </row>
  </sheetData>
  <mergeCells count="149">
    <mergeCell ref="BD7:BG7"/>
    <mergeCell ref="BH7:BK7"/>
    <mergeCell ref="AZ7:BC7"/>
    <mergeCell ref="AJ7:AM7"/>
    <mergeCell ref="AN7:AQ7"/>
    <mergeCell ref="AR7:AU7"/>
    <mergeCell ref="AF7:AI7"/>
    <mergeCell ref="C5:AE5"/>
    <mergeCell ref="H7:K7"/>
    <mergeCell ref="L7:O7"/>
    <mergeCell ref="P7:S7"/>
    <mergeCell ref="T7:W7"/>
    <mergeCell ref="X7:AA7"/>
    <mergeCell ref="AB7:AE7"/>
    <mergeCell ref="F7:F8"/>
    <mergeCell ref="AV7:AY7"/>
    <mergeCell ref="C59:D59"/>
    <mergeCell ref="E53:E54"/>
    <mergeCell ref="E11:E12"/>
    <mergeCell ref="E27:E30"/>
    <mergeCell ref="E35:E36"/>
    <mergeCell ref="E37:E38"/>
    <mergeCell ref="E31:E34"/>
    <mergeCell ref="E45:E46"/>
    <mergeCell ref="E39:E40"/>
    <mergeCell ref="E47:E48"/>
    <mergeCell ref="D19:D20"/>
    <mergeCell ref="D21:D22"/>
    <mergeCell ref="D23:D24"/>
    <mergeCell ref="E49:E50"/>
    <mergeCell ref="E51:E52"/>
    <mergeCell ref="F49:F50"/>
    <mergeCell ref="F51:F52"/>
    <mergeCell ref="F53:F54"/>
    <mergeCell ref="F55:F56"/>
    <mergeCell ref="F57:F58"/>
    <mergeCell ref="G7:G8"/>
    <mergeCell ref="C60:D60"/>
    <mergeCell ref="D45:D46"/>
    <mergeCell ref="D47:D48"/>
    <mergeCell ref="D49:D50"/>
    <mergeCell ref="D51:D52"/>
    <mergeCell ref="D53:D54"/>
    <mergeCell ref="D55:D56"/>
    <mergeCell ref="D57:D58"/>
    <mergeCell ref="E7:E8"/>
    <mergeCell ref="E9:E10"/>
    <mergeCell ref="E13:E14"/>
    <mergeCell ref="E15:E16"/>
    <mergeCell ref="E17:E18"/>
    <mergeCell ref="D7:D8"/>
    <mergeCell ref="D9:D10"/>
    <mergeCell ref="D13:D14"/>
    <mergeCell ref="D15:D16"/>
    <mergeCell ref="D17:D18"/>
    <mergeCell ref="C63:D63"/>
    <mergeCell ref="G63:I63"/>
    <mergeCell ref="A66:F66"/>
    <mergeCell ref="G66:I66"/>
    <mergeCell ref="A7:A8"/>
    <mergeCell ref="A9:A10"/>
    <mergeCell ref="A13:A14"/>
    <mergeCell ref="A15:A16"/>
    <mergeCell ref="A17:A18"/>
    <mergeCell ref="A19:A20"/>
    <mergeCell ref="A21:A22"/>
    <mergeCell ref="A23:A24"/>
    <mergeCell ref="A25:A26"/>
    <mergeCell ref="A11:A12"/>
    <mergeCell ref="A27:A28"/>
    <mergeCell ref="A29:A30"/>
    <mergeCell ref="A31:A32"/>
    <mergeCell ref="A33:A34"/>
    <mergeCell ref="A35:A36"/>
    <mergeCell ref="A37:A38"/>
    <mergeCell ref="C61:D61"/>
    <mergeCell ref="C62:D62"/>
    <mergeCell ref="A65:F65"/>
    <mergeCell ref="A49:A50"/>
    <mergeCell ref="A51:A52"/>
    <mergeCell ref="A53:A54"/>
    <mergeCell ref="A55:A56"/>
    <mergeCell ref="A57:A58"/>
    <mergeCell ref="E19:E22"/>
    <mergeCell ref="E23:E26"/>
    <mergeCell ref="D25:D26"/>
    <mergeCell ref="D11:D12"/>
    <mergeCell ref="D27:D28"/>
    <mergeCell ref="D29:D30"/>
    <mergeCell ref="D31:D32"/>
    <mergeCell ref="D33:D34"/>
    <mergeCell ref="D35:D36"/>
    <mergeCell ref="D37:D38"/>
    <mergeCell ref="E55:E56"/>
    <mergeCell ref="E57:E58"/>
    <mergeCell ref="B35:C36"/>
    <mergeCell ref="B29:C30"/>
    <mergeCell ref="B31:C32"/>
    <mergeCell ref="B33:C34"/>
    <mergeCell ref="B51:C52"/>
    <mergeCell ref="B53:C54"/>
    <mergeCell ref="B55:C56"/>
    <mergeCell ref="B57:C58"/>
    <mergeCell ref="F9:F10"/>
    <mergeCell ref="F13:F14"/>
    <mergeCell ref="F15:F16"/>
    <mergeCell ref="F17:F18"/>
    <mergeCell ref="F19:F22"/>
    <mergeCell ref="F23:F26"/>
    <mergeCell ref="A45:A46"/>
    <mergeCell ref="A47:A48"/>
    <mergeCell ref="F45:F46"/>
    <mergeCell ref="F39:F40"/>
    <mergeCell ref="F47:F48"/>
    <mergeCell ref="B37:C38"/>
    <mergeCell ref="B43:C44"/>
    <mergeCell ref="D43:D44"/>
    <mergeCell ref="E43:E44"/>
    <mergeCell ref="F43:F44"/>
    <mergeCell ref="F11:F12"/>
    <mergeCell ref="F27:F30"/>
    <mergeCell ref="F31:F32"/>
    <mergeCell ref="F33:F34"/>
    <mergeCell ref="F35:F36"/>
    <mergeCell ref="F37:F38"/>
    <mergeCell ref="A1:AE3"/>
    <mergeCell ref="B47:C48"/>
    <mergeCell ref="B49:C50"/>
    <mergeCell ref="B45:C46"/>
    <mergeCell ref="B13:C14"/>
    <mergeCell ref="B17:C18"/>
    <mergeCell ref="B21:C22"/>
    <mergeCell ref="B9:C10"/>
    <mergeCell ref="B7:C8"/>
    <mergeCell ref="B15:C16"/>
    <mergeCell ref="B23:C24"/>
    <mergeCell ref="B25:C26"/>
    <mergeCell ref="B11:C12"/>
    <mergeCell ref="A39:A40"/>
    <mergeCell ref="B39:C40"/>
    <mergeCell ref="D39:D40"/>
    <mergeCell ref="B19:C20"/>
    <mergeCell ref="B27:C28"/>
    <mergeCell ref="A41:A42"/>
    <mergeCell ref="B41:C42"/>
    <mergeCell ref="D41:D42"/>
    <mergeCell ref="E41:E42"/>
    <mergeCell ref="F41:F42"/>
    <mergeCell ref="A43:A44"/>
  </mergeCells>
  <printOptions horizontalCentered="1"/>
  <pageMargins left="0" right="0" top="0.511811023622047" bottom="0.23622047244094499" header="0" footer="0"/>
  <pageSetup paperSize="9" scale="35" fitToHeight="3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0C74-074D-4091-B5A9-B38B818BF4F1}">
  <dimension ref="A1:C30"/>
  <sheetViews>
    <sheetView topLeftCell="A8" workbookViewId="0">
      <selection activeCell="B17" sqref="B17"/>
    </sheetView>
  </sheetViews>
  <sheetFormatPr defaultRowHeight="14.4" x14ac:dyDescent="0.3"/>
  <cols>
    <col min="1" max="1" width="12.109375" style="41" customWidth="1"/>
    <col min="2" max="2" width="36.33203125" style="41" customWidth="1"/>
    <col min="3" max="3" width="8.88671875" style="42"/>
    <col min="4" max="16384" width="8.88671875" style="41"/>
  </cols>
  <sheetData>
    <row r="1" spans="1:3" ht="20.399999999999999" customHeight="1" x14ac:dyDescent="0.3">
      <c r="A1" s="40" t="s">
        <v>54</v>
      </c>
      <c r="B1" s="40" t="s">
        <v>55</v>
      </c>
      <c r="C1" s="40" t="s">
        <v>56</v>
      </c>
    </row>
    <row r="2" spans="1:3" x14ac:dyDescent="0.3">
      <c r="A2" s="48" t="s">
        <v>57</v>
      </c>
      <c r="B2" s="41" t="s">
        <v>58</v>
      </c>
      <c r="C2" s="42" t="s">
        <v>59</v>
      </c>
    </row>
    <row r="3" spans="1:3" x14ac:dyDescent="0.3">
      <c r="A3" s="48"/>
      <c r="B3" s="41" t="s">
        <v>60</v>
      </c>
      <c r="C3" s="42" t="s">
        <v>59</v>
      </c>
    </row>
    <row r="4" spans="1:3" x14ac:dyDescent="0.3">
      <c r="A4" s="48"/>
      <c r="B4" s="41" t="s">
        <v>61</v>
      </c>
      <c r="C4" s="42" t="s">
        <v>59</v>
      </c>
    </row>
    <row r="5" spans="1:3" x14ac:dyDescent="0.3">
      <c r="A5" s="48"/>
      <c r="B5" s="41" t="s">
        <v>62</v>
      </c>
      <c r="C5" s="42" t="s">
        <v>59</v>
      </c>
    </row>
    <row r="6" spans="1:3" x14ac:dyDescent="0.3">
      <c r="A6" s="48"/>
      <c r="B6" s="41" t="s">
        <v>63</v>
      </c>
      <c r="C6" s="42" t="s">
        <v>59</v>
      </c>
    </row>
    <row r="7" spans="1:3" x14ac:dyDescent="0.3">
      <c r="A7" s="48"/>
      <c r="B7" s="41" t="s">
        <v>64</v>
      </c>
      <c r="C7" s="42" t="s">
        <v>59</v>
      </c>
    </row>
    <row r="8" spans="1:3" x14ac:dyDescent="0.3">
      <c r="A8" s="48"/>
      <c r="B8" s="41" t="s">
        <v>65</v>
      </c>
      <c r="C8" s="42" t="s">
        <v>59</v>
      </c>
    </row>
    <row r="9" spans="1:3" x14ac:dyDescent="0.3">
      <c r="A9" s="48"/>
      <c r="B9" s="41" t="s">
        <v>66</v>
      </c>
      <c r="C9" s="42" t="s">
        <v>59</v>
      </c>
    </row>
    <row r="10" spans="1:3" x14ac:dyDescent="0.3">
      <c r="A10" s="48"/>
      <c r="B10" s="41" t="s">
        <v>67</v>
      </c>
      <c r="C10" s="42" t="s">
        <v>59</v>
      </c>
    </row>
    <row r="11" spans="1:3" x14ac:dyDescent="0.3">
      <c r="A11" s="48" t="s">
        <v>68</v>
      </c>
      <c r="B11" s="41" t="s">
        <v>69</v>
      </c>
      <c r="C11" s="42" t="s">
        <v>59</v>
      </c>
    </row>
    <row r="12" spans="1:3" x14ac:dyDescent="0.3">
      <c r="A12" s="48"/>
      <c r="B12" s="41" t="s">
        <v>70</v>
      </c>
      <c r="C12" s="42" t="s">
        <v>59</v>
      </c>
    </row>
    <row r="13" spans="1:3" x14ac:dyDescent="0.3">
      <c r="A13" s="48"/>
      <c r="B13" s="41" t="s">
        <v>71</v>
      </c>
      <c r="C13" s="42" t="s">
        <v>59</v>
      </c>
    </row>
    <row r="14" spans="1:3" x14ac:dyDescent="0.3">
      <c r="A14" s="48" t="s">
        <v>72</v>
      </c>
      <c r="B14" s="41" t="s">
        <v>73</v>
      </c>
      <c r="C14" s="42" t="s">
        <v>59</v>
      </c>
    </row>
    <row r="15" spans="1:3" x14ac:dyDescent="0.3">
      <c r="A15" s="48"/>
      <c r="B15" s="41" t="s">
        <v>74</v>
      </c>
      <c r="C15" s="42" t="s">
        <v>59</v>
      </c>
    </row>
    <row r="16" spans="1:3" x14ac:dyDescent="0.3">
      <c r="A16" s="48"/>
      <c r="B16" s="47" t="s">
        <v>94</v>
      </c>
      <c r="C16" s="42" t="s">
        <v>59</v>
      </c>
    </row>
    <row r="17" spans="1:3" x14ac:dyDescent="0.3">
      <c r="A17" s="48"/>
      <c r="B17" s="41" t="s">
        <v>75</v>
      </c>
      <c r="C17" s="42" t="s">
        <v>59</v>
      </c>
    </row>
    <row r="18" spans="1:3" x14ac:dyDescent="0.3">
      <c r="A18" s="48"/>
      <c r="B18" s="41" t="s">
        <v>76</v>
      </c>
      <c r="C18" s="42" t="s">
        <v>59</v>
      </c>
    </row>
    <row r="19" spans="1:3" x14ac:dyDescent="0.3">
      <c r="A19" s="48"/>
      <c r="B19" s="43" t="s">
        <v>77</v>
      </c>
      <c r="C19" s="42" t="s">
        <v>59</v>
      </c>
    </row>
    <row r="20" spans="1:3" x14ac:dyDescent="0.3">
      <c r="A20" s="48"/>
      <c r="B20" s="43" t="s">
        <v>78</v>
      </c>
      <c r="C20" s="42" t="s">
        <v>59</v>
      </c>
    </row>
    <row r="21" spans="1:3" x14ac:dyDescent="0.3">
      <c r="A21" s="48"/>
      <c r="B21" s="43" t="s">
        <v>79</v>
      </c>
      <c r="C21" s="42" t="s">
        <v>59</v>
      </c>
    </row>
    <row r="22" spans="1:3" x14ac:dyDescent="0.3">
      <c r="A22" s="48"/>
      <c r="B22" s="43" t="s">
        <v>80</v>
      </c>
      <c r="C22" s="42" t="s">
        <v>59</v>
      </c>
    </row>
    <row r="23" spans="1:3" x14ac:dyDescent="0.3">
      <c r="A23" s="48"/>
      <c r="B23" s="43" t="s">
        <v>81</v>
      </c>
      <c r="C23" s="42" t="s">
        <v>59</v>
      </c>
    </row>
    <row r="24" spans="1:3" x14ac:dyDescent="0.3">
      <c r="A24" s="48"/>
      <c r="B24" s="43" t="s">
        <v>83</v>
      </c>
      <c r="C24" s="42" t="s">
        <v>59</v>
      </c>
    </row>
    <row r="25" spans="1:3" x14ac:dyDescent="0.3">
      <c r="A25" s="48"/>
      <c r="B25" s="43" t="s">
        <v>82</v>
      </c>
      <c r="C25" s="42" t="s">
        <v>59</v>
      </c>
    </row>
    <row r="26" spans="1:3" x14ac:dyDescent="0.3">
      <c r="A26" s="48"/>
      <c r="B26" s="43" t="s">
        <v>84</v>
      </c>
      <c r="C26" s="42" t="s">
        <v>59</v>
      </c>
    </row>
    <row r="27" spans="1:3" x14ac:dyDescent="0.3">
      <c r="A27" s="48"/>
      <c r="B27" s="43" t="s">
        <v>85</v>
      </c>
      <c r="C27" s="42" t="s">
        <v>59</v>
      </c>
    </row>
    <row r="28" spans="1:3" x14ac:dyDescent="0.3">
      <c r="A28" s="48"/>
      <c r="B28" s="43" t="s">
        <v>86</v>
      </c>
      <c r="C28" s="42" t="s">
        <v>59</v>
      </c>
    </row>
    <row r="29" spans="1:3" x14ac:dyDescent="0.3">
      <c r="A29" s="48"/>
      <c r="B29" s="43" t="s">
        <v>87</v>
      </c>
      <c r="C29" s="42" t="s">
        <v>59</v>
      </c>
    </row>
    <row r="30" spans="1:3" x14ac:dyDescent="0.3">
      <c r="A30" s="48"/>
      <c r="B30" s="43" t="s">
        <v>88</v>
      </c>
      <c r="C30" s="42" t="s">
        <v>59</v>
      </c>
    </row>
  </sheetData>
  <mergeCells count="3">
    <mergeCell ref="A2:A10"/>
    <mergeCell ref="A11:A13"/>
    <mergeCell ref="A14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Tahapan Program</vt:lpstr>
      <vt:lpstr>Progres Tandem Dokumen</vt:lpstr>
      <vt:lpstr>'Tahapan Program'!Print_Area</vt:lpstr>
      <vt:lpstr>'Tahapan Program'!Print_Titles</vt:lpstr>
    </vt:vector>
  </TitlesOfParts>
  <Company>PT. SSPM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Selamat W H</dc:creator>
  <cp:lastModifiedBy>lenovoip330 s2</cp:lastModifiedBy>
  <cp:lastPrinted>2024-07-25T04:50:31Z</cp:lastPrinted>
  <dcterms:created xsi:type="dcterms:W3CDTF">2005-01-17T08:21:00Z</dcterms:created>
  <dcterms:modified xsi:type="dcterms:W3CDTF">2026-06-17T02:53:22Z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3F652CF8D50F4BB5993EC6AB0CFFA11F_12</vt:lpwstr>
  </property>
  <property fmtid="{D5CDD505-2E9C-101B-9397-08002B2CF9AE}" pid="3" name="KSOProductBuildVer">
    <vt:lpwstr>1033-12.2.0.13215</vt:lpwstr>
  </property>
</Properties>
</file>