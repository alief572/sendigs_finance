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SC DATA\SSC Project\SSC-KONSULTASI\SSC-BAP\"/>
    </mc:Choice>
  </mc:AlternateContent>
  <xr:revisionPtr revIDLastSave="0" documentId="13_ncr:1_{98556302-F88D-4856-BDA3-40F9DFA2FE31}" xr6:coauthVersionLast="47" xr6:coauthVersionMax="47" xr10:uidLastSave="{00000000-0000-0000-0000-000000000000}"/>
  <bookViews>
    <workbookView xWindow="-108" yWindow="-108" windowWidth="23256" windowHeight="12456" xr2:uid="{1739389E-E167-42D9-A8B4-506C7FD34465}"/>
  </bookViews>
  <sheets>
    <sheet name="Time Line" sheetId="1" r:id="rId1"/>
    <sheet name="Sheet1" sheetId="2" r:id="rId2"/>
  </sheets>
  <definedNames>
    <definedName name="_xlnm.Print_Area" localSheetId="0">'Time Line'!$A$1:$AF$58</definedName>
    <definedName name="_xlnm.Print_Titles" localSheetId="0">'Time Line'!$1:$8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5" i="1" l="1"/>
  <c r="F59" i="1" l="1"/>
  <c r="E59" i="1"/>
  <c r="A43" i="1"/>
  <c r="A45" i="1" s="1"/>
  <c r="A47" i="1" s="1"/>
  <c r="A49" i="1" s="1"/>
  <c r="A51" i="1" s="1"/>
  <c r="A53" i="1" s="1"/>
  <c r="A55" i="1" s="1"/>
  <c r="A57" i="1" s="1"/>
  <c r="A29" i="1"/>
  <c r="A31" i="1" s="1"/>
  <c r="A33" i="1" s="1"/>
  <c r="A35" i="1" s="1"/>
  <c r="A37" i="1" s="1"/>
</calcChain>
</file>

<file path=xl/sharedStrings.xml><?xml version="1.0" encoding="utf-8"?>
<sst xmlns="http://schemas.openxmlformats.org/spreadsheetml/2006/main" count="242" uniqueCount="147">
  <si>
    <t>TAHAPAN KONSULTASI PENERAPAN  SISTEM MANAJEMEN KESELAMATAN DAN 
KESEHATAN KERJA standar ISO 45001:2018</t>
  </si>
  <si>
    <t xml:space="preserve">PERUSAHAAN </t>
  </si>
  <si>
    <t xml:space="preserve">: PT BAKRIE AUTOPARTS </t>
  </si>
  <si>
    <t xml:space="preserve">LOKASI </t>
  </si>
  <si>
    <t>: Pondok Ungu, Jl. Raya Bekasi No.KM 27, RT.003/RW.007, Medan Satria, Kecamatan Medan Satria, Kota Bekasi, Jawa Barat 17132</t>
  </si>
  <si>
    <t>NO. PROPOSAL</t>
  </si>
  <si>
    <t>: 017A/STM/SI/I/26rev.04</t>
  </si>
  <si>
    <t>NO</t>
  </si>
  <si>
    <t>AKTIVITAS</t>
  </si>
  <si>
    <t>OUTPUT</t>
  </si>
  <si>
    <t>PIC</t>
  </si>
  <si>
    <t>Konsultan</t>
  </si>
  <si>
    <t>MAN
DAYS</t>
  </si>
  <si>
    <t>STATUS</t>
  </si>
  <si>
    <t>Mei</t>
  </si>
  <si>
    <t>Juni</t>
  </si>
  <si>
    <t>July</t>
  </si>
  <si>
    <t>Agustus</t>
  </si>
  <si>
    <t>Okt</t>
  </si>
  <si>
    <t>Nov</t>
  </si>
  <si>
    <t>Keterangan</t>
  </si>
  <si>
    <t>Kick Off &amp; Gap Analysis</t>
  </si>
  <si>
    <t>Tanda kesepakatan team, management dan konsultan untuk pelaksanaan konsultasi dan implementasi Sistem Manajemen K3 Berdasarkan ISO 45001:2018</t>
  </si>
  <si>
    <t xml:space="preserve">Sentral
 Sistem </t>
  </si>
  <si>
    <t>Dhywa Darmawan</t>
  </si>
  <si>
    <t>Plan</t>
  </si>
  <si>
    <t>Planning dilakukan onsite gap analysis</t>
  </si>
  <si>
    <t>Actual</t>
  </si>
  <si>
    <t>Training Identifikasi Bahaya Risiko (HIRADC)</t>
  </si>
  <si>
    <t>Tugas setelah training 
- Unsafe act
- Unsafe condition
- History kecelakaan, nyaris celaka
- Penyakit karyawan
- Draft  Identifikasi Bahaya Risiko /HIRADC</t>
  </si>
  <si>
    <t>M Rizky Yudhaprasetyo</t>
  </si>
  <si>
    <r>
      <t xml:space="preserve">Training HIRADC oleh konsultan, untuk refreshment tentang risk management dalam lingkup K3
</t>
    </r>
    <r>
      <rPr>
        <i/>
        <sz val="18"/>
        <color rgb="FFFF0000"/>
        <rFont val="Arial Narrow"/>
        <family val="2"/>
      </rPr>
      <t>*Note Perserta diharapkan perwakilan dari tiap bagian untuk PIC pembuatan IBPR tiap proses</t>
    </r>
  </si>
  <si>
    <t xml:space="preserve">Executive Briefing </t>
  </si>
  <si>
    <t>Laporan hasil gap analysis</t>
  </si>
  <si>
    <r>
      <t xml:space="preserve">Penyusanan Laporan Gap analysis dan pemberian refrensi dokumen sesuai kekurangan hasil gap analysis
</t>
    </r>
    <r>
      <rPr>
        <i/>
        <sz val="18"/>
        <color rgb="FFFF0000"/>
        <rFont val="Arial Narrow"/>
        <family val="2"/>
      </rPr>
      <t>*Note tidak kunjungan on site laporan &amp; dokumen dikirim via email agar tidak mengurangi mandays</t>
    </r>
  </si>
  <si>
    <t>Konsultasi Konteks Organisasi :
1. Isu Internal Dan Eksternal
2. Kebutuhan dan Harapan Tenaga Kerja dan Pihak yang Berkepentingan
3. Ruang Lingkup Sistem Manajemen K3
4. Identifikasi Proses Bisnis Organisasi terhadap Sistem Manajemen K3</t>
  </si>
  <si>
    <t>Draft Konsultasi Konteks Organisasi :
1. Isu Internal Dan Eksternal
2. Kebutuhan dan Harapan Tenaga Kerja dan Pihak yang Berkepentingan
3. Ruang Lingkup Sistem Manajemen K3
4. Identifikasi Proses Bisnis Organisasi terhadap Sistem Manajemen K3</t>
  </si>
  <si>
    <r>
      <t xml:space="preserve">Tri Amdani Kumbarsari / Cahyadi / Dhywa Darmawan
</t>
    </r>
    <r>
      <rPr>
        <sz val="18"/>
        <color rgb="FFFF0000"/>
        <rFont val="Arial Narrow"/>
        <family val="2"/>
      </rPr>
      <t>*menyesuaikan konsultan yang tersedia</t>
    </r>
  </si>
  <si>
    <r>
      <t xml:space="preserve">Konsultasi konteks organisasi
</t>
    </r>
    <r>
      <rPr>
        <i/>
        <sz val="18"/>
        <color rgb="FFFF0000"/>
        <rFont val="Arial Narrow"/>
        <family val="2"/>
      </rPr>
      <t>*Note diharapkan saat sesi pembahasan team internal bakrie sudah melakukan review terkait dokumen refensi, agar sesi konsultasi efisien menghasilkan ouput</t>
    </r>
  </si>
  <si>
    <t>Konsultasi Identifikasi Bahaya &amp; Penilaian Risiko HIRADC 
1. Hasil Identifikasi Bahaya dan Penilaian Risiko K3
2. Identifikasi Risiko dan Peluang didalam sistem manajemen K3 Perusahaan</t>
  </si>
  <si>
    <t>Output 
- Identifikasi Unsafe act &amp; condition
- Draft HIRA /HIRADC
- Pengendalian operational
- Draft Program Manajemen K3
- Peraturan terkait
- History kecelakaan, nyaris celaka
- Penyakit karyawan
- List potensi emergency</t>
  </si>
  <si>
    <r>
      <t xml:space="preserve">Review HIRADC/IBPR terupdate setelah training, pemeriksaan disertai gemba lapangan untuk pengecekan actual. 
</t>
    </r>
    <r>
      <rPr>
        <i/>
        <sz val="18"/>
        <color rgb="FFFF0000"/>
        <rFont val="Arial Narrow"/>
        <family val="2"/>
      </rPr>
      <t>*Note diharapkan saat sesi pembahasan team internal bakrie sudah melakukan review terkait dokumen refensi, agar sesi konsultasi efisien menghasilkan ouput</t>
    </r>
  </si>
  <si>
    <t>Review Peraturan dan Persyaratan Lain :
1. Identifikasi dan Evaluasi Pemenuhan Peraturan Perundangan dan Persyaratan Lain 
2. Review Perijinan &amp; Lisensi
3. Identifikasi Risiko dan Peluang didalam penerapan K3 dan Perusahaan</t>
  </si>
  <si>
    <t>1. Identifikasi dan Evaluasi Pemenuhan Peraturan Perundangan dan Persyaratan Lain yang sudah diupdate dan dibuat Program K3 untuk segera dieksekusi
2. Review Perijinan &amp; Lisensi yang sudah diupdate dan dibuat Program K3 untuk segera dieksekusi
3. Pemantauan dan Pengukuran K3</t>
  </si>
  <si>
    <r>
      <t xml:space="preserve">Konsultasi pemenuhan peraturan,
Pembahasan mengenai evaluasi peraturan perundangan (Komptensi, Perizinan, &amp; Pengukuran) serta Planning Program pemenuhan
</t>
    </r>
    <r>
      <rPr>
        <sz val="18"/>
        <color rgb="FFFF0000"/>
        <rFont val="Arial Narrow"/>
        <family val="2"/>
      </rPr>
      <t>*Note diharapkan saat sesi pembahasan team internal bakrie sudah melakukan review terkait dokumen refensi, agar sesi konsultasi efisien menghasilkan ouput</t>
    </r>
  </si>
  <si>
    <t xml:space="preserve">Training Awareness Persyaratan ISO 45001:2018 </t>
  </si>
  <si>
    <t>Tugas training
- Buat Program Manajemen K3
- Buat Kebijakan K3
- Pengukuran peforma (Kecelakaan, Near Miss)
- Investigasi kecelakaan terhadap 3 kecelakaan terakhir</t>
  </si>
  <si>
    <r>
      <t xml:space="preserve">Training Awereness ISO 45001:2018
</t>
    </r>
    <r>
      <rPr>
        <i/>
        <sz val="18"/>
        <color rgb="FFFF0000"/>
        <rFont val="Arial Narrow"/>
        <family val="2"/>
      </rPr>
      <t>*Note Perserta diharapkan perwakilan dari tiap bagian penyebaran awerenes yang beribang</t>
    </r>
  </si>
  <si>
    <t>Konsultasi:
1. Kebijakan K3
2. Sasaran K3
3. Program Manajemen K3 terhadap Risiko dan Peluang, IBPR, Pemenuhan Peraturan dan Persyaratan Lain</t>
  </si>
  <si>
    <t>- Perilaku yang harus diperbaiki
- Infrastruktur 
- Kendala-Kendala 
- diskusi kebijakan
- Usulan program K3 dan lingkup K3</t>
  </si>
  <si>
    <r>
      <t xml:space="preserve">Konsultasi mengenai pertimbangan K3 dalam bisnisplan,
Mengarah pada kebijakan, Objective, dan Program pencapaiannya
</t>
    </r>
    <r>
      <rPr>
        <sz val="18"/>
        <color rgb="FFFF0000"/>
        <rFont val="Arial Narrow"/>
        <family val="2"/>
      </rPr>
      <t>*Note diharapkan saat sesi pembahasan team internal bakrie sudah melakukan review terkait dokumen refensi, agar sesi konsultasi efisien menghasilkan ouput</t>
    </r>
  </si>
  <si>
    <t>Konsultasi: 
1. Proses Partisipasi &amp; Konsultasi K3
2. Kepedulian K3
3. Proses Komunikasi K3 (Internal &amp; Eksternal)
4. Pengendalian Dokumen &amp; Rekaman</t>
  </si>
  <si>
    <t>Pengendalian Operasional untuk: 
1. Proses Partisipasi &amp; Konsultasi K3
2. Kepedulian K3
3. Proses Komunikasi K3 (Internal &amp; Eksternal)
4. Pengendalian Dokumen &amp; Rekaman</t>
  </si>
  <si>
    <r>
      <t xml:space="preserve">Konsultasi mengenai proses komunikasi, </t>
    </r>
    <r>
      <rPr>
        <i/>
        <sz val="18"/>
        <rFont val="Arial Narrow"/>
        <family val="2"/>
      </rPr>
      <t xml:space="preserve">konsultasi dan partisipasi (Implementasi P2K3)
</t>
    </r>
    <r>
      <rPr>
        <sz val="18"/>
        <rFont val="Arial Narrow"/>
        <family val="2"/>
      </rPr>
      <t xml:space="preserve">Serta </t>
    </r>
    <r>
      <rPr>
        <i/>
        <sz val="18"/>
        <rFont val="Arial Narrow"/>
        <family val="2"/>
      </rPr>
      <t xml:space="preserve">Proses penerimaan Karyawan berserta Jobdesk dan Pengembangan Kompetensi
</t>
    </r>
    <r>
      <rPr>
        <sz val="18"/>
        <rFont val="Arial Narrow"/>
        <family val="2"/>
      </rPr>
      <t xml:space="preserve">
</t>
    </r>
    <r>
      <rPr>
        <sz val="18"/>
        <color rgb="FFFF0000"/>
        <rFont val="Arial Narrow"/>
        <family val="2"/>
      </rPr>
      <t>*Note diharapkan saat sesi pembahasan team internal bakrie sudah melakukan review terkait dokumen refensi, agar sesi konsultasi efisien menghasilkan ouput</t>
    </r>
  </si>
  <si>
    <t>Konsultasi:
1. Proses Penerimaan karyawan dan Kompetensi
2. Pengendalian Perubahan (Management of Change)</t>
  </si>
  <si>
    <t>Pengendalian Operasional untuk:
1. Proses Penerimaan karyawan 
2. Proses Pengembangan Kompetensi / Pelatihan
3. Tugas &amp; Tanggung Jawab (JobDesk)</t>
  </si>
  <si>
    <t>Konsultasi Perencanaan &amp; Pengendalian Operasional :
1. Hirarki Pengendalian Bahaya
2. Pengendalian Bahan Kimia Berbahaya
3. Pengendalian Kontraktor
4. Pengendalian Proses Outsourcing
5. Pengendalian APD
6. Ijin Kerja risiko tinggi
7. Sistem LOTO</t>
  </si>
  <si>
    <t xml:space="preserve">
'Pengendalian Operasional untuk: 
1. Hirarki Pengendalian
2. Pengendalian Bahan Kimia Berbahaya
3. Pengendalian Kontraktor
4. Pengendalian Proses Outsorcing
5. Pengendalian APD
6. Ijin Kerja risiko tinggi
7. Sistem LOTO
</t>
  </si>
  <si>
    <r>
      <t xml:space="preserve">Konsultasi Pengelolaan K3 dari sisi Opersional ( Pengendalian Bahaya )
</t>
    </r>
    <r>
      <rPr>
        <sz val="18"/>
        <color rgb="FFFF0000"/>
        <rFont val="Arial Narrow"/>
        <family val="2"/>
      </rPr>
      <t>*Note diharapkan saat sesi pembahasan team internal bakrie sudah melakukan review terkait dokumen refensi, agar sesi konsultasi efisien menghasilkan ouput</t>
    </r>
  </si>
  <si>
    <t>Konsultasi Perencanaan &amp; Pengendalian Operasional :
1. Proses Produksi / Realisasi Jasa
2. Proses Pembelian Barang &amp; Jasa
3. Proses Perawatan dan Perbaikan
4. Proses Penyimpanan &amp; Logistik  Barang</t>
  </si>
  <si>
    <t>Pengendalian Operasional untuk: 
1. Proses Realisasi Produksi
2. Proses Pembelian Barang &amp; Jasa
3. Proses Perawatan dan Perbaikan 
4. Proses Penyimpanan &amp; Logistik Barang</t>
  </si>
  <si>
    <r>
      <t xml:space="preserve">Konsultasi Pengelolaan K3 dari sisi Opersional
(Pertimbangan Persyaratan K3)
</t>
    </r>
    <r>
      <rPr>
        <sz val="18"/>
        <color rgb="FFFF0000"/>
        <rFont val="Arial Narrow"/>
        <family val="2"/>
      </rPr>
      <t>*Note diharapkan saat sesi pembahasan team internal bakrie sudah melakukan review terkait dokumen refensi, agar sesi konsultasi efisien menghasilkan ouput</t>
    </r>
  </si>
  <si>
    <t>Konsultasi Kesiapsiagaan dan Tanggap Darurat :
1. Short Briefing EPR
2. Perencanaan Tanggap Darurat
3. Simulasi dan Pengujian
4. Komunikasi Kondisi Darurat</t>
  </si>
  <si>
    <t>Prosedur, jalur evakuasi, struktur organisasi, simulasi, skenario</t>
  </si>
  <si>
    <r>
      <t xml:space="preserve">Konsultasi Pengendalian kondisi darurat (Planning, Simulasi, Kompetensi dan infrastruktur)
</t>
    </r>
    <r>
      <rPr>
        <sz val="18"/>
        <color rgb="FFFF0000"/>
        <rFont val="Arial Narrow"/>
        <family val="2"/>
      </rPr>
      <t>*Note diharapkan saat sesi pembahasan team internal bakrie sudah melakukan review terkait dokumen refensi, agar sesi konsultasi efisien menghasilkan ouput</t>
    </r>
  </si>
  <si>
    <t>Konsultasi Evaluasi Kinerja K3 :
1. Program Pemantauan &amp; Pengukuran K3
2. Audit Internal
3. Tinjauan Manajemen</t>
  </si>
  <si>
    <t>Hasil Review dan Usulan Perbaikan  Kinerja K3 :
1. Pemantauan &amp; Pengukuran
2. Audit Internal termasuk tindakan bila ada ketidaksesuaian 
3. Tinjauan Manajemen</t>
  </si>
  <si>
    <t>Sentral 
Sistem</t>
  </si>
  <si>
    <r>
      <t xml:space="preserve">Konsultasi Evaluasi kinerja
</t>
    </r>
    <r>
      <rPr>
        <sz val="18"/>
        <color rgb="FFFF0000"/>
        <rFont val="Arial Narrow"/>
        <family val="2"/>
      </rPr>
      <t>*Note diharapkan saat sesi pembahasan team internal bakrie sudah melakukan review terkait dokumen refensi, agar sesi konsultasi efisien menghasilkan ouput</t>
    </r>
  </si>
  <si>
    <t>Review HIRADC dan Implementasi, Kelengkapan dokumen, Pengendalian operasional, perijinan dan lisensi</t>
  </si>
  <si>
    <t xml:space="preserve">Dokumen HIRADC dan Dokumen /SOP lain  yang telah didevelop siap untuk disimulasikan </t>
  </si>
  <si>
    <t>TBA</t>
  </si>
  <si>
    <r>
      <t xml:space="preserve">Review Implementasi dan Kesiapan dokumen
</t>
    </r>
    <r>
      <rPr>
        <i/>
        <sz val="18"/>
        <color rgb="FFFF0000"/>
        <rFont val="Arial Narrow"/>
        <family val="2"/>
      </rPr>
      <t>*Note Mandays dialokasikan sesuai kebutuhan perbaikan</t>
    </r>
  </si>
  <si>
    <t>Training Internal Audit ISO 45001 Berdasarkan Risiko dan Kinerja ISO 19011:2018</t>
  </si>
  <si>
    <t xml:space="preserve">Tugas setelah training 
- Checksheet audit dipraktekan untuk melakukan live internal audit K3 Berdasarkan ISO 1 45001 oleh client dengan melihat ketidaksesuaian dalam implementasi K3, kelemahan sistem, Bahaya - Risiko dan Kinerja K3
- Hasil Ujian dinyatakan berhasil menjadi Internal Auditor K3 </t>
  </si>
  <si>
    <t>2&amp;3</t>
  </si>
  <si>
    <r>
      <t xml:space="preserve">Training Internal Audit ISO 45001:2018
</t>
    </r>
    <r>
      <rPr>
        <i/>
        <sz val="18"/>
        <color rgb="FFFF0000"/>
        <rFont val="Arial Narrow"/>
        <family val="2"/>
      </rPr>
      <t>*Note Perserta diharapkan perwakilan dari tiap bagian tim audit yang proporsional</t>
    </r>
  </si>
  <si>
    <t xml:space="preserve">Audit Internal oleh Client </t>
  </si>
  <si>
    <t>Audit report dari client seagai praktek dari training Internal Audit K3 Berdasarkan ISO 45001</t>
  </si>
  <si>
    <t>Client</t>
  </si>
  <si>
    <t>-</t>
  </si>
  <si>
    <t>By Client</t>
  </si>
  <si>
    <t>Tinjauan Manajemen oleh Client</t>
  </si>
  <si>
    <t>Hasil Tinjauan Manajemen Client</t>
  </si>
  <si>
    <t>Audit Internal oleh Konsultan</t>
  </si>
  <si>
    <t xml:space="preserve">Audit report dari konsultan untuk persiapan Audit Sertifikasi </t>
  </si>
  <si>
    <t>Tri Amdani Kumbarsari / Cahyadi / Dhywa Darmawan</t>
  </si>
  <si>
    <t>25 &amp; 26</t>
  </si>
  <si>
    <r>
      <t xml:space="preserve">Pelakasnaan Audit Internal Konsultan
</t>
    </r>
    <r>
      <rPr>
        <i/>
        <sz val="18"/>
        <color rgb="FFFF0000"/>
        <rFont val="Arial Narrow"/>
        <family val="2"/>
      </rPr>
      <t>*Note dilaksanakan oleh Auditor konsultan yang berbeda untuk mereview hasil penyusunan sistem</t>
    </r>
  </si>
  <si>
    <t>Review Evaluasi Sistem &amp; Perbaikan Audit</t>
  </si>
  <si>
    <t xml:space="preserve">Hasil Review Corrective Action 
Audit Konsultan </t>
  </si>
  <si>
    <t>Perbaikan temuan Audit Internal Konsultan</t>
  </si>
  <si>
    <t>Audit Stage 1 oleh Badan Sertifikasi</t>
  </si>
  <si>
    <t>Badan
Sertifikasi</t>
  </si>
  <si>
    <t>Mengikuti Target sertifikasi BAP</t>
  </si>
  <si>
    <t>Review tindakan perbaikkan atas temuan audit Stage 1</t>
  </si>
  <si>
    <t xml:space="preserve">Hasil revew Corrective Action 
Audit Stage 1 Badan Sertiifikasi </t>
  </si>
  <si>
    <t>Dijadwalkan Setelah Stage-1</t>
  </si>
  <si>
    <t>Audit Stage 2 oleh Badan Sertifikasi</t>
  </si>
  <si>
    <t>Badan Sertifikasi</t>
  </si>
  <si>
    <t>Review tindakan perbaikkan atas temuan audit Stage 2</t>
  </si>
  <si>
    <t xml:space="preserve">Hasil revew Corrective Action 
Audit Stage 2 Badan Sertiifikasi </t>
  </si>
  <si>
    <t>Dijadwalkan Setelah Stage-2</t>
  </si>
  <si>
    <t>Closing Meeting Project</t>
  </si>
  <si>
    <t xml:space="preserve">TOTAL INVESTASI </t>
  </si>
  <si>
    <t>DISCOUNT PAKET 20% +</t>
  </si>
  <si>
    <t>INVESTASI PENAWARAN REV.04</t>
  </si>
  <si>
    <t xml:space="preserve">PENAWARAN INITIAL AUDIT ISO 45001:2018 DARI TUV SUD BISA BUNDLING DENGAN SENTRAL SISTEM </t>
  </si>
  <si>
    <t>TOTAL KONSULTASI DAN INITIAL AUDIT TUV SUD INDONESIA</t>
  </si>
  <si>
    <t>SURVEILLANCE 1 PEMBAYARAN LANGSUNG KE TUV SUD DI TAHUN KE-1</t>
  </si>
  <si>
    <t>SURVEILLANCE 2 PEMBAYARAN LANGSUNG KE TUV SUD DI TAHUN KE-2</t>
  </si>
  <si>
    <t xml:space="preserve">PPN 11%, Makan siang konsultan, Training Keahlian K3
</t>
  </si>
  <si>
    <t>17&amp;24</t>
  </si>
  <si>
    <t>LINGKUP PEMBAHASAN UNTUK KONSULTASI JUNI 2026 BAKRIE AUTOPARTS</t>
  </si>
  <si>
    <t>Konsultasi Konteks Organisasi :</t>
  </si>
  <si>
    <t>Deskripsi</t>
  </si>
  <si>
    <t>Dokumen terkait</t>
  </si>
  <si>
    <t>Relevant section</t>
  </si>
  <si>
    <t>Tanggal Konsultasi</t>
  </si>
  <si>
    <t>Isu Internal Dan Eksternal</t>
  </si>
  <si>
    <t>Melakukan identifikasi terhadap isu internal dan external yang relevan dan berpengaruh pada implementasi dan pencapaian Sistem Manejemen K3
Seperti, 
1. Internal ( Infrastruktur, Budaya K3, Kinerja K3, Teknologi, SDM )
2. External ( Politik, Ekonomi, Sosial, Teknologi, Enviroment, Climate Change, legal )</t>
  </si>
  <si>
    <t>Isu Internal dan Isu External</t>
  </si>
  <si>
    <t>MR &amp; HSE</t>
  </si>
  <si>
    <t>Selasa, 2 Juni 2026</t>
  </si>
  <si>
    <t>Kebutuhan dan Harapan Tenaga Kerja dan Pihak yang Berkepentingan</t>
  </si>
  <si>
    <t>Melakukan identifikasi kebutan dan harapan dari pihak berkepentingan dari sisi K3 termasuk pekerja untuk menentukan pemenuhannya. 
Seperti ( Pekerja, Pemerintah, Customer, Supplier, Pemilik saham, Serikat pekerja, Kontraktor dll )</t>
  </si>
  <si>
    <t>Kebutuhan dan harapan pihak berkepentingan</t>
  </si>
  <si>
    <t>Ruang Lingkup Sistem Manajemen K3</t>
  </si>
  <si>
    <t>Menentukan ruang lingkup penerapan sistem manajemen K3</t>
  </si>
  <si>
    <t>Manual K3</t>
  </si>
  <si>
    <t>MR</t>
  </si>
  <si>
    <t>Identifikasi Proses Bisnis Organisasi terhadap Sistem Manajemen K3</t>
  </si>
  <si>
    <t>Melakukan identifikasi proses bisnis terhadap K3</t>
  </si>
  <si>
    <t>Bisnis Proses Mapping</t>
  </si>
  <si>
    <t>Identifikasi dan Evaluasi Pemenuhan Peraturan Perundangan</t>
  </si>
  <si>
    <t>Melakukan identifikasi peraturan perundangan K3 dan melakukan evaluasi pemenuhan peraturan</t>
  </si>
  <si>
    <t>List peraturan perundangan dan tabel evaluasi</t>
  </si>
  <si>
    <t>HSE</t>
  </si>
  <si>
    <t>Senin, 8 Juni 2026</t>
  </si>
  <si>
    <t>Review Perijinan &amp; Lisensi</t>
  </si>
  <si>
    <t>Melakukan review pemenuhan perizinan berdasarkan, 
Pengujian dan pemeriksaan peralatan, pemenuhan kompetensi K3, pemeriksaan kesehatan, perizinanan terkait infrastruktur</t>
  </si>
  <si>
    <t>List peralatan &amp; list Infrastruktur, List kompetensi K3 pekerja, Bukti pemeriksaan kesehatan (Rekapitulasi hasil pemeriksaaan)</t>
  </si>
  <si>
    <r>
      <rPr>
        <i/>
        <sz val="12"/>
        <color theme="1"/>
        <rFont val="Arial Narrow"/>
        <family val="2"/>
      </rPr>
      <t>Produksi &amp; GA</t>
    </r>
    <r>
      <rPr>
        <sz val="12"/>
        <color theme="1"/>
        <rFont val="Arial Narrow"/>
        <family val="2"/>
      </rPr>
      <t xml:space="preserve"> , HR, Klinik
</t>
    </r>
    <r>
      <rPr>
        <i/>
        <sz val="9"/>
        <color rgb="FFFF0000"/>
        <rFont val="Arial Narrow"/>
        <family val="2"/>
      </rPr>
      <t>*Sesuaikan dengan  PIC di BAKRIE</t>
    </r>
  </si>
  <si>
    <t xml:space="preserve"> Identifikasi Risiko dan Peluang didalam penerapan K3 dan Perusahaan</t>
  </si>
  <si>
    <t>Melakukan identifikasi risiko dan peluang dari hasil evaluasi peraturan perudanngan serta membuat program kerja perbaikan</t>
  </si>
  <si>
    <t>Tabel Program Kerja K3</t>
  </si>
  <si>
    <t>Konsultasi Peraturan dan Persyaratan Lain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</si>
</sst>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40" x14ac:knownFonts="1">
    <font>
      <sz val="10"/>
      <name val="Arial"/>
      <family val="2"/>
    </font>
    <font>
      <b/>
      <sz val="28"/>
      <name val="Calibri"/>
      <family val="2"/>
      <scheme val="minor"/>
    </font>
    <font>
      <b/>
      <sz val="18"/>
      <name val="Calibri"/>
      <family val="2"/>
      <scheme val="minor"/>
    </font>
    <font>
      <b/>
      <sz val="22"/>
      <name val="Calibri"/>
      <family val="2"/>
      <scheme val="minor"/>
    </font>
    <font>
      <sz val="22"/>
      <name val="Calibri"/>
      <family val="2"/>
      <scheme val="minor"/>
    </font>
    <font>
      <sz val="18"/>
      <name val="Calibri"/>
      <family val="2"/>
      <scheme val="minor"/>
    </font>
    <font>
      <sz val="14"/>
      <name val="Garamond"/>
      <family val="1"/>
    </font>
    <font>
      <b/>
      <sz val="18"/>
      <name val="Arial Narrow"/>
      <family val="2"/>
    </font>
    <font>
      <sz val="18"/>
      <name val="Arial Narrow"/>
      <family val="2"/>
    </font>
    <font>
      <sz val="18"/>
      <color indexed="48"/>
      <name val="Arial Narrow"/>
      <family val="2"/>
    </font>
    <font>
      <i/>
      <sz val="18"/>
      <color rgb="FFFF0000"/>
      <name val="Arial Narrow"/>
      <family val="2"/>
    </font>
    <font>
      <i/>
      <sz val="18"/>
      <name val="Arial Narrow"/>
      <family val="2"/>
    </font>
    <font>
      <sz val="18"/>
      <color rgb="FFFF0000"/>
      <name val="Arial Narrow"/>
      <family val="2"/>
    </font>
    <font>
      <sz val="18"/>
      <color indexed="10"/>
      <name val="Arial Narrow"/>
      <family val="2"/>
    </font>
    <font>
      <sz val="18"/>
      <color indexed="44"/>
      <name val="Arial Narrow"/>
      <family val="2"/>
    </font>
    <font>
      <sz val="18"/>
      <color rgb="FF0070C0"/>
      <name val="Arial Narrow"/>
      <family val="2"/>
    </font>
    <font>
      <sz val="18"/>
      <color rgb="FFC00000"/>
      <name val="Arial Narrow"/>
      <family val="2"/>
    </font>
    <font>
      <sz val="18"/>
      <color theme="1"/>
      <name val="Arial Narrow"/>
      <family val="2"/>
    </font>
    <font>
      <sz val="14"/>
      <color indexed="48"/>
      <name val="Garamond"/>
      <family val="1"/>
    </font>
    <font>
      <sz val="22"/>
      <color indexed="48"/>
      <name val="Calibri"/>
      <family val="2"/>
      <scheme val="minor"/>
    </font>
    <font>
      <sz val="18"/>
      <color indexed="48"/>
      <name val="Calibri"/>
      <family val="2"/>
      <scheme val="minor"/>
    </font>
    <font>
      <sz val="22"/>
      <color indexed="10"/>
      <name val="Calibri"/>
      <family val="2"/>
      <scheme val="minor"/>
    </font>
    <font>
      <sz val="18"/>
      <color indexed="10"/>
      <name val="Calibri"/>
      <family val="2"/>
      <scheme val="minor"/>
    </font>
    <font>
      <b/>
      <sz val="17"/>
      <name val="Calibri"/>
      <family val="2"/>
      <scheme val="minor"/>
    </font>
    <font>
      <sz val="18"/>
      <name val="Arial"/>
      <family val="2"/>
    </font>
    <font>
      <b/>
      <sz val="14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i/>
      <sz val="12"/>
      <color theme="1"/>
      <name val="Arial Narrow"/>
      <family val="2"/>
    </font>
    <font>
      <b/>
      <i/>
      <sz val="12"/>
      <color theme="1"/>
      <name val="Calibri"/>
      <family val="2"/>
      <scheme val="minor"/>
    </font>
    <font>
      <sz val="12"/>
      <name val="Arial Narrow"/>
      <family val="2"/>
    </font>
    <font>
      <sz val="12"/>
      <color theme="1"/>
      <name val="Arial Narrow"/>
      <family val="2"/>
    </font>
    <font>
      <sz val="12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b/>
      <sz val="12"/>
      <color theme="1"/>
      <name val="Calibri"/>
      <family val="2"/>
      <scheme val="minor"/>
    </font>
    <font>
      <i/>
      <sz val="12"/>
      <color theme="1"/>
      <name val="Arial Narrow"/>
      <family val="2"/>
    </font>
    <font>
      <i/>
      <sz val="9"/>
      <color rgb="FFFF0000"/>
      <name val="Arial Narrow"/>
      <family val="2"/>
    </font>
    <font>
      <sz val="22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/>
    <xf numFmtId="0" fontId="5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16" fontId="8" fillId="4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/>
    <xf numFmtId="0" fontId="9" fillId="6" borderId="1" xfId="0" applyFont="1" applyFill="1" applyBorder="1" applyAlignment="1">
      <alignment horizontal="center"/>
    </xf>
    <xf numFmtId="0" fontId="18" fillId="0" borderId="0" xfId="0" applyFont="1"/>
    <xf numFmtId="1" fontId="4" fillId="0" borderId="0" xfId="0" applyNumberFormat="1" applyFont="1" applyAlignment="1">
      <alignment horizontal="center" vertical="justify"/>
    </xf>
    <xf numFmtId="0" fontId="2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2" fillId="7" borderId="1" xfId="0" applyFont="1" applyFill="1" applyBorder="1" applyAlignment="1">
      <alignment horizontal="center" vertical="center"/>
    </xf>
    <xf numFmtId="0" fontId="21" fillId="0" borderId="0" xfId="0" applyFont="1"/>
    <xf numFmtId="164" fontId="2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vertical="center" wrapText="1"/>
    </xf>
    <xf numFmtId="164" fontId="2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2" fillId="5" borderId="2" xfId="0" applyNumberFormat="1" applyFont="1" applyFill="1" applyBorder="1" applyAlignment="1">
      <alignment vertical="center" wrapText="1"/>
    </xf>
    <xf numFmtId="164" fontId="22" fillId="5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164" fontId="2" fillId="0" borderId="0" xfId="0" applyNumberFormat="1" applyFont="1" applyAlignment="1">
      <alignment vertical="center" wrapText="1"/>
    </xf>
    <xf numFmtId="164" fontId="23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4" fillId="0" borderId="0" xfId="0" applyFont="1"/>
    <xf numFmtId="0" fontId="26" fillId="0" borderId="0" xfId="0" applyFont="1" applyAlignment="1">
      <alignment horizontal="left"/>
    </xf>
    <xf numFmtId="0" fontId="27" fillId="0" borderId="0" xfId="0" applyFont="1" applyAlignment="1">
      <alignment vertical="center"/>
    </xf>
    <xf numFmtId="0" fontId="27" fillId="0" borderId="0" xfId="0" applyFont="1"/>
    <xf numFmtId="0" fontId="31" fillId="0" borderId="1" xfId="0" applyFont="1" applyBorder="1" applyAlignment="1">
      <alignment horizontal="center" vertical="center" wrapText="1"/>
    </xf>
    <xf numFmtId="0" fontId="32" fillId="0" borderId="0" xfId="0" applyFont="1"/>
    <xf numFmtId="0" fontId="31" fillId="0" borderId="1" xfId="0" applyFont="1" applyBorder="1" applyAlignment="1">
      <alignment vertical="center" wrapText="1"/>
    </xf>
    <xf numFmtId="0" fontId="31" fillId="0" borderId="1" xfId="0" applyFont="1" applyBorder="1" applyAlignment="1">
      <alignment vertical="center"/>
    </xf>
    <xf numFmtId="0" fontId="34" fillId="0" borderId="1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0" fontId="36" fillId="0" borderId="0" xfId="0" applyFont="1"/>
    <xf numFmtId="0" fontId="0" fillId="0" borderId="0" xfId="0" applyAlignment="1">
      <alignment wrapText="1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2" xfId="0" quotePrefix="1" applyFont="1" applyBorder="1" applyAlignment="1">
      <alignment horizontal="left" vertical="center" wrapText="1"/>
    </xf>
    <xf numFmtId="0" fontId="8" fillId="0" borderId="6" xfId="0" quotePrefix="1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5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64" fontId="4" fillId="0" borderId="8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2" fillId="7" borderId="1" xfId="0" applyFont="1" applyFill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1" fontId="30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/>
    </xf>
    <xf numFmtId="1" fontId="8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/>
    <xf numFmtId="0" fontId="3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70</xdr:row>
      <xdr:rowOff>0</xdr:rowOff>
    </xdr:from>
    <xdr:to>
      <xdr:col>6</xdr:col>
      <xdr:colOff>0</xdr:colOff>
      <xdr:row>80</xdr:row>
      <xdr:rowOff>41564</xdr:rowOff>
    </xdr:to>
    <xdr:sp macro="" textlink="">
      <xdr:nvSpPr>
        <xdr:cNvPr id="2" name="TextBox 56">
          <a:extLst>
            <a:ext uri="{FF2B5EF4-FFF2-40B4-BE49-F238E27FC236}">
              <a16:creationId xmlns:a16="http://schemas.microsoft.com/office/drawing/2014/main" id="{EA4E3AAC-549C-4CD5-B2DC-82FD2F0664F9}"/>
            </a:ext>
          </a:extLst>
        </xdr:cNvPr>
        <xdr:cNvSpPr txBox="1"/>
      </xdr:nvSpPr>
      <xdr:spPr>
        <a:xfrm>
          <a:off x="0" y="53766720"/>
          <a:ext cx="12329160" cy="0"/>
        </a:xfrm>
        <a:prstGeom prst="rect">
          <a:avLst/>
        </a:prstGeom>
        <a:noFill/>
      </xdr:spPr>
      <xdr:txBody>
        <a:bodyPr wrap="square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2200" b="1" u="sng">
              <a:latin typeface="+mn-lt"/>
            </a:rPr>
            <a:t>Investasi </a:t>
          </a:r>
          <a:r>
            <a:rPr lang="id-ID" sz="2200" b="1" u="sng">
              <a:latin typeface="+mn-lt"/>
            </a:rPr>
            <a:t>Sudah Termasuk :</a:t>
          </a:r>
          <a:r>
            <a:rPr lang="en-US" sz="2200" b="1" u="sng">
              <a:latin typeface="+mn-lt"/>
            </a:rPr>
            <a:t> </a:t>
          </a:r>
          <a:endParaRPr lang="en-US" sz="2200" b="1">
            <a:latin typeface="+mn-lt"/>
            <a:cs typeface="+mn-cs"/>
          </a:endParaRPr>
        </a:p>
        <a:p>
          <a:pPr marL="177800" indent="-177800" algn="just" eaLnBrk="1" fontAlgn="auto" hangingPunct="1">
            <a:spcBef>
              <a:spcPts val="0"/>
            </a:spcBef>
            <a:spcAft>
              <a:spcPts val="0"/>
            </a:spcAft>
            <a:buFont typeface="Arial" panose="020B0604020202020204" pitchFamily="7" charset="0"/>
            <a:buChar char="•"/>
            <a:defRPr/>
          </a:pPr>
          <a:r>
            <a:rPr lang="en-US" sz="2200">
              <a:latin typeface="+mn-lt"/>
            </a:rPr>
            <a:t>Spanduk dan standing banner untuk sosialisasi program 1 buah</a:t>
          </a:r>
        </a:p>
        <a:p>
          <a:pPr marL="177800" indent="-177800" algn="just" eaLnBrk="1" fontAlgn="auto" hangingPunct="1">
            <a:spcBef>
              <a:spcPts val="0"/>
            </a:spcBef>
            <a:spcAft>
              <a:spcPts val="0"/>
            </a:spcAft>
            <a:buFont typeface="Arial" panose="020B0604020202020204" pitchFamily="7" charset="0"/>
            <a:buChar char="•"/>
            <a:defRPr/>
          </a:pPr>
          <a:r>
            <a:rPr lang="en-US" sz="2200">
              <a:latin typeface="+mn-lt"/>
            </a:rPr>
            <a:t>Materi</a:t>
          </a:r>
          <a:r>
            <a:rPr lang="en-US" sz="2200" baseline="0">
              <a:latin typeface="+mn-lt"/>
            </a:rPr>
            <a:t> Training dan E-Certificate untuk 25 peserta yang bisa didownload di www.sentralsistem.com </a:t>
          </a:r>
        </a:p>
        <a:p>
          <a:pPr marL="177800" indent="-177800" algn="just" eaLnBrk="1" fontAlgn="auto" hangingPunct="1">
            <a:spcBef>
              <a:spcPts val="0"/>
            </a:spcBef>
            <a:spcAft>
              <a:spcPts val="0"/>
            </a:spcAft>
            <a:buFont typeface="Arial" panose="020B0604020202020204" pitchFamily="7" charset="0"/>
            <a:buChar char="•"/>
            <a:defRPr/>
          </a:pPr>
          <a:r>
            <a:rPr lang="en-US" sz="2200">
              <a:latin typeface="+mn-lt"/>
            </a:rPr>
            <a:t>Transport Konsultan </a:t>
          </a:r>
        </a:p>
        <a:p>
          <a:pPr marL="177800" indent="-177800" algn="just" eaLnBrk="1" fontAlgn="auto" hangingPunct="1">
            <a:spcBef>
              <a:spcPts val="0"/>
            </a:spcBef>
            <a:spcAft>
              <a:spcPts val="0"/>
            </a:spcAft>
            <a:buFont typeface="Arial" panose="020B0604020202020204" pitchFamily="7" charset="0"/>
            <a:buChar char="•"/>
            <a:defRPr/>
          </a:pPr>
          <a:r>
            <a:rPr lang="en-US" sz="2200">
              <a:latin typeface="+mn-lt"/>
            </a:rPr>
            <a:t>Free layanan milist:</a:t>
          </a:r>
        </a:p>
        <a:p>
          <a:pPr marL="177800" algn="just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2200" u="sng">
              <a:latin typeface="+mn-lt"/>
            </a:rPr>
            <a:t>business-improvement@sentral-sistem.com;</a:t>
          </a:r>
          <a:r>
            <a:rPr lang="en-US" sz="2200">
              <a:latin typeface="+mn-lt"/>
            </a:rPr>
            <a:t> </a:t>
          </a:r>
        </a:p>
        <a:p>
          <a:pPr marL="177800" algn="just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2200" u="sng">
              <a:latin typeface="+mn-lt"/>
            </a:rPr>
            <a:t>quality-technique@sentral-sistem.com;</a:t>
          </a:r>
          <a:r>
            <a:rPr lang="en-US" sz="2200">
              <a:latin typeface="+mn-lt"/>
            </a:rPr>
            <a:t> </a:t>
          </a:r>
        </a:p>
        <a:p>
          <a:pPr marL="177800" algn="just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2200" u="sng">
              <a:latin typeface="+mn-lt"/>
            </a:rPr>
            <a:t>hse-community@sentral-sistem.com </a:t>
          </a:r>
          <a:endParaRPr lang="en-US" sz="2200">
            <a:latin typeface="+mn-lt"/>
          </a:endParaRPr>
        </a:p>
      </xdr:txBody>
    </xdr:sp>
    <xdr:clientData/>
  </xdr:twoCellAnchor>
  <xdr:twoCellAnchor>
    <xdr:from>
      <xdr:col>6</xdr:col>
      <xdr:colOff>0</xdr:colOff>
      <xdr:row>69</xdr:row>
      <xdr:rowOff>180108</xdr:rowOff>
    </xdr:from>
    <xdr:to>
      <xdr:col>32</xdr:col>
      <xdr:colOff>27709</xdr:colOff>
      <xdr:row>78</xdr:row>
      <xdr:rowOff>124690</xdr:rowOff>
    </xdr:to>
    <xdr:sp macro="" textlink="">
      <xdr:nvSpPr>
        <xdr:cNvPr id="3" name="TextBox 56">
          <a:extLst>
            <a:ext uri="{FF2B5EF4-FFF2-40B4-BE49-F238E27FC236}">
              <a16:creationId xmlns:a16="http://schemas.microsoft.com/office/drawing/2014/main" id="{49F2D80E-4150-4739-85CE-768E1A5F6C8F}"/>
            </a:ext>
          </a:extLst>
        </xdr:cNvPr>
        <xdr:cNvSpPr txBox="1"/>
      </xdr:nvSpPr>
      <xdr:spPr>
        <a:xfrm>
          <a:off x="12329160" y="53766720"/>
          <a:ext cx="16738369" cy="0"/>
        </a:xfrm>
        <a:prstGeom prst="rect">
          <a:avLst/>
        </a:prstGeom>
        <a:solidFill>
          <a:srgbClr val="0070C0"/>
        </a:solidFill>
      </xdr:spPr>
      <xdr:txBody>
        <a:bodyPr wrap="square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endParaRPr lang="en-US" sz="4000" b="1">
            <a:solidFill>
              <a:schemeClr val="bg1"/>
            </a:solidFill>
            <a:latin typeface="+mn-lt"/>
          </a:endParaRPr>
        </a:p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4000" b="1">
              <a:solidFill>
                <a:schemeClr val="bg1"/>
              </a:solidFill>
              <a:latin typeface="+mn-lt"/>
            </a:rPr>
            <a:t>Bonus:</a:t>
          </a:r>
          <a:r>
            <a:rPr lang="en-US" sz="4000" b="1" baseline="0">
              <a:solidFill>
                <a:schemeClr val="bg1"/>
              </a:solidFill>
              <a:latin typeface="+mn-lt"/>
            </a:rPr>
            <a:t> </a:t>
          </a:r>
          <a:endParaRPr lang="en-US" sz="4000" b="1">
            <a:solidFill>
              <a:schemeClr val="bg1"/>
            </a:solidFill>
            <a:latin typeface="+mn-lt"/>
          </a:endParaRPr>
        </a:p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2400" b="1">
              <a:solidFill>
                <a:schemeClr val="bg1"/>
              </a:solidFill>
              <a:latin typeface="+mn-lt"/>
            </a:rPr>
            <a:t>(1) Buku </a:t>
          </a:r>
          <a:r>
            <a:rPr lang="en-US" sz="2400" b="1" baseline="0">
              <a:solidFill>
                <a:schemeClr val="bg1"/>
              </a:solidFill>
              <a:latin typeface="+mn-lt"/>
            </a:rPr>
            <a:t> Pedoman ISO 45001 sejumlah 1 buku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 kern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(2) Buku </a:t>
          </a:r>
          <a:r>
            <a:rPr lang="en-US" sz="2400" b="1" kern="12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Saku Safety sejumlah 1 buku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 kern="12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(3) Special Invetasi untuk Program Digitalisasi ISO 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400" b="1" kern="120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 baseline="0">
            <a:latin typeface="+mn-lt"/>
          </a:endParaRPr>
        </a:p>
      </xdr:txBody>
    </xdr:sp>
    <xdr:clientData/>
  </xdr:twoCellAnchor>
  <xdr:twoCellAnchor editAs="oneCell">
    <xdr:from>
      <xdr:col>22</xdr:col>
      <xdr:colOff>407555</xdr:colOff>
      <xdr:row>0</xdr:row>
      <xdr:rowOff>11540</xdr:rowOff>
    </xdr:from>
    <xdr:to>
      <xdr:col>28</xdr:col>
      <xdr:colOff>338280</xdr:colOff>
      <xdr:row>2</xdr:row>
      <xdr:rowOff>288630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B4CC38-6A98-4405-9647-E60BF47D7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79575" y="11540"/>
          <a:ext cx="3184465" cy="1054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20A8-9E38-4A73-B4F9-CBA225C36294}">
  <dimension ref="A1:AG85"/>
  <sheetViews>
    <sheetView tabSelected="1" topLeftCell="A13" zoomScale="55" zoomScaleNormal="55" workbookViewId="0">
      <selection activeCell="C15" sqref="C15:C16"/>
    </sheetView>
  </sheetViews>
  <sheetFormatPr defaultRowHeight="22.8" x14ac:dyDescent="0.4"/>
  <cols>
    <col min="1" max="1" width="10.88671875" customWidth="1"/>
    <col min="2" max="2" width="48.33203125" customWidth="1"/>
    <col min="3" max="3" width="55.33203125" customWidth="1"/>
    <col min="4" max="4" width="20.6640625" customWidth="1"/>
    <col min="5" max="5" width="25.77734375" customWidth="1"/>
    <col min="6" max="6" width="18.33203125" customWidth="1"/>
    <col min="7" max="7" width="16.44140625" customWidth="1"/>
    <col min="8" max="13" width="6.33203125" customWidth="1"/>
    <col min="14" max="14" width="11" customWidth="1"/>
    <col min="15" max="25" width="6.33203125" customWidth="1"/>
    <col min="26" max="26" width="8.77734375" customWidth="1"/>
    <col min="27" max="27" width="13.33203125" customWidth="1"/>
    <col min="28" max="31" width="6.33203125" customWidth="1"/>
    <col min="32" max="32" width="65.77734375" style="51" customWidth="1"/>
  </cols>
  <sheetData>
    <row r="1" spans="1:33" ht="30.7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1"/>
    </row>
    <row r="2" spans="1:33" ht="30.75" customHeigh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1"/>
    </row>
    <row r="3" spans="1:33" ht="30.75" customHeight="1" x14ac:dyDescent="0.25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1"/>
      <c r="AG3" s="2"/>
    </row>
    <row r="4" spans="1:33" ht="42" customHeight="1" x14ac:dyDescent="0.55000000000000004">
      <c r="A4" s="3" t="s">
        <v>1</v>
      </c>
      <c r="B4" s="4"/>
      <c r="C4" s="3" t="s">
        <v>2</v>
      </c>
      <c r="D4" s="5"/>
      <c r="E4" s="5"/>
      <c r="F4" s="5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6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7"/>
      <c r="AG4" s="8"/>
    </row>
    <row r="5" spans="1:33" ht="62.4" customHeight="1" x14ac:dyDescent="0.55000000000000004">
      <c r="A5" s="9" t="s">
        <v>3</v>
      </c>
      <c r="B5" s="6"/>
      <c r="C5" s="69" t="s">
        <v>4</v>
      </c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10"/>
      <c r="AG5" s="11"/>
    </row>
    <row r="6" spans="1:33" ht="40.799999999999997" customHeight="1" x14ac:dyDescent="0.55000000000000004">
      <c r="A6" s="3" t="s">
        <v>5</v>
      </c>
      <c r="B6" s="4"/>
      <c r="C6" s="3" t="s">
        <v>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5"/>
      <c r="AC6" s="5"/>
      <c r="AD6" s="5"/>
      <c r="AE6" s="5"/>
      <c r="AF6" s="12"/>
      <c r="AG6" s="11"/>
    </row>
    <row r="7" spans="1:33" s="14" customFormat="1" ht="28.5" customHeight="1" x14ac:dyDescent="0.25">
      <c r="A7" s="70" t="s">
        <v>7</v>
      </c>
      <c r="B7" s="71" t="s">
        <v>8</v>
      </c>
      <c r="C7" s="71" t="s">
        <v>9</v>
      </c>
      <c r="D7" s="70" t="s">
        <v>10</v>
      </c>
      <c r="E7" s="73" t="s">
        <v>11</v>
      </c>
      <c r="F7" s="73" t="s">
        <v>12</v>
      </c>
      <c r="G7" s="70" t="s">
        <v>13</v>
      </c>
      <c r="H7" s="64" t="s">
        <v>14</v>
      </c>
      <c r="I7" s="64"/>
      <c r="J7" s="64"/>
      <c r="K7" s="64"/>
      <c r="L7" s="64" t="s">
        <v>15</v>
      </c>
      <c r="M7" s="64"/>
      <c r="N7" s="64"/>
      <c r="O7" s="64"/>
      <c r="P7" s="65" t="s">
        <v>16</v>
      </c>
      <c r="Q7" s="66"/>
      <c r="R7" s="66"/>
      <c r="S7" s="67"/>
      <c r="T7" s="65" t="s">
        <v>17</v>
      </c>
      <c r="U7" s="66"/>
      <c r="V7" s="66"/>
      <c r="W7" s="67"/>
      <c r="X7" s="65" t="s">
        <v>18</v>
      </c>
      <c r="Y7" s="66"/>
      <c r="Z7" s="66"/>
      <c r="AA7" s="67"/>
      <c r="AB7" s="65" t="s">
        <v>19</v>
      </c>
      <c r="AC7" s="66"/>
      <c r="AD7" s="66"/>
      <c r="AE7" s="67"/>
      <c r="AF7" s="64" t="s">
        <v>20</v>
      </c>
    </row>
    <row r="8" spans="1:33" s="14" customFormat="1" ht="23.4" x14ac:dyDescent="0.25">
      <c r="A8" s="70"/>
      <c r="B8" s="72"/>
      <c r="C8" s="72"/>
      <c r="D8" s="70"/>
      <c r="E8" s="70"/>
      <c r="F8" s="70"/>
      <c r="G8" s="70"/>
      <c r="H8" s="13">
        <v>1</v>
      </c>
      <c r="I8" s="13">
        <v>2</v>
      </c>
      <c r="J8" s="13">
        <v>3</v>
      </c>
      <c r="K8" s="13">
        <v>4</v>
      </c>
      <c r="L8" s="13">
        <v>1</v>
      </c>
      <c r="M8" s="13">
        <v>2</v>
      </c>
      <c r="N8" s="13">
        <v>3</v>
      </c>
      <c r="O8" s="13">
        <v>4</v>
      </c>
      <c r="P8" s="13">
        <v>1</v>
      </c>
      <c r="Q8" s="13">
        <v>2</v>
      </c>
      <c r="R8" s="13">
        <v>3</v>
      </c>
      <c r="S8" s="13">
        <v>4</v>
      </c>
      <c r="T8" s="13">
        <v>1</v>
      </c>
      <c r="U8" s="13">
        <v>2</v>
      </c>
      <c r="V8" s="13">
        <v>3</v>
      </c>
      <c r="W8" s="13">
        <v>4</v>
      </c>
      <c r="X8" s="13">
        <v>1</v>
      </c>
      <c r="Y8" s="13">
        <v>2</v>
      </c>
      <c r="Z8" s="13">
        <v>3</v>
      </c>
      <c r="AA8" s="13">
        <v>4</v>
      </c>
      <c r="AB8" s="13">
        <v>1</v>
      </c>
      <c r="AC8" s="13">
        <v>2</v>
      </c>
      <c r="AD8" s="13">
        <v>3</v>
      </c>
      <c r="AE8" s="13">
        <v>4</v>
      </c>
      <c r="AF8" s="64"/>
      <c r="AG8" s="15"/>
    </row>
    <row r="9" spans="1:33" ht="63" customHeight="1" x14ac:dyDescent="0.45">
      <c r="A9" s="76">
        <v>1</v>
      </c>
      <c r="B9" s="74" t="s">
        <v>21</v>
      </c>
      <c r="C9" s="74" t="s">
        <v>22</v>
      </c>
      <c r="D9" s="78" t="s">
        <v>23</v>
      </c>
      <c r="E9" s="78" t="s">
        <v>24</v>
      </c>
      <c r="F9" s="78">
        <v>1</v>
      </c>
      <c r="G9" s="16" t="s">
        <v>25</v>
      </c>
      <c r="H9" s="17"/>
      <c r="I9" s="17"/>
      <c r="J9" s="18">
        <v>21</v>
      </c>
      <c r="K9" s="17"/>
      <c r="L9" s="17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74" t="s">
        <v>26</v>
      </c>
      <c r="AG9" s="11"/>
    </row>
    <row r="10" spans="1:33" ht="63" customHeight="1" x14ac:dyDescent="0.45">
      <c r="A10" s="76"/>
      <c r="B10" s="75"/>
      <c r="C10" s="75"/>
      <c r="D10" s="79"/>
      <c r="E10" s="78"/>
      <c r="F10" s="78"/>
      <c r="G10" s="16" t="s">
        <v>27</v>
      </c>
      <c r="H10" s="17"/>
      <c r="I10" s="17"/>
      <c r="J10" s="116"/>
      <c r="K10" s="17"/>
      <c r="L10" s="17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75"/>
      <c r="AG10" s="11"/>
    </row>
    <row r="11" spans="1:33" ht="83.55" customHeight="1" x14ac:dyDescent="0.45">
      <c r="A11" s="117">
        <v>2</v>
      </c>
      <c r="B11" s="74" t="s">
        <v>28</v>
      </c>
      <c r="C11" s="74" t="s">
        <v>29</v>
      </c>
      <c r="D11" s="78" t="s">
        <v>23</v>
      </c>
      <c r="E11" s="78" t="s">
        <v>30</v>
      </c>
      <c r="F11" s="78">
        <v>1</v>
      </c>
      <c r="G11" s="16" t="s">
        <v>25</v>
      </c>
      <c r="H11" s="17"/>
      <c r="I11" s="17"/>
      <c r="J11" s="17"/>
      <c r="K11" s="17"/>
      <c r="L11" s="16"/>
      <c r="M11" s="19"/>
      <c r="N11" s="18" t="s">
        <v>112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74" t="s">
        <v>31</v>
      </c>
      <c r="AG11" s="11"/>
    </row>
    <row r="12" spans="1:33" ht="85.2" customHeight="1" x14ac:dyDescent="0.45">
      <c r="A12" s="118"/>
      <c r="B12" s="75"/>
      <c r="C12" s="75"/>
      <c r="D12" s="78"/>
      <c r="E12" s="78"/>
      <c r="F12" s="78"/>
      <c r="G12" s="16" t="s">
        <v>27</v>
      </c>
      <c r="H12" s="17"/>
      <c r="I12" s="17"/>
      <c r="J12" s="17"/>
      <c r="K12" s="17"/>
      <c r="L12" s="17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75"/>
      <c r="AG12" s="11"/>
    </row>
    <row r="13" spans="1:33" ht="60" customHeight="1" x14ac:dyDescent="0.45">
      <c r="A13" s="76">
        <v>3</v>
      </c>
      <c r="B13" s="74" t="s">
        <v>32</v>
      </c>
      <c r="C13" s="74" t="s">
        <v>33</v>
      </c>
      <c r="D13" s="78" t="s">
        <v>23</v>
      </c>
      <c r="E13" s="78" t="s">
        <v>30</v>
      </c>
      <c r="F13" s="78">
        <v>1</v>
      </c>
      <c r="G13" s="16" t="s">
        <v>25</v>
      </c>
      <c r="H13" s="17"/>
      <c r="I13" s="17"/>
      <c r="J13" s="17"/>
      <c r="K13" s="18">
        <v>26</v>
      </c>
      <c r="L13" s="17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80" t="s">
        <v>34</v>
      </c>
      <c r="AG13" s="11"/>
    </row>
    <row r="14" spans="1:33" ht="69" customHeight="1" x14ac:dyDescent="0.45">
      <c r="A14" s="77"/>
      <c r="B14" s="75"/>
      <c r="C14" s="75"/>
      <c r="D14" s="78"/>
      <c r="E14" s="78"/>
      <c r="F14" s="78"/>
      <c r="G14" s="16" t="s">
        <v>27</v>
      </c>
      <c r="H14" s="17"/>
      <c r="I14" s="17"/>
      <c r="J14" s="17"/>
      <c r="K14" s="116"/>
      <c r="L14" s="17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81"/>
      <c r="AG14" s="11"/>
    </row>
    <row r="15" spans="1:33" ht="133.94999999999999" customHeight="1" x14ac:dyDescent="0.45">
      <c r="A15" s="76">
        <v>4</v>
      </c>
      <c r="B15" s="74" t="s">
        <v>35</v>
      </c>
      <c r="C15" s="74" t="s">
        <v>36</v>
      </c>
      <c r="D15" s="78" t="s">
        <v>23</v>
      </c>
      <c r="E15" s="82" t="s">
        <v>37</v>
      </c>
      <c r="F15" s="78"/>
      <c r="G15" s="16" t="s">
        <v>25</v>
      </c>
      <c r="H15" s="17"/>
      <c r="I15" s="17"/>
      <c r="J15" s="17"/>
      <c r="K15" s="17"/>
      <c r="L15" s="18">
        <v>2</v>
      </c>
      <c r="M15" s="16"/>
      <c r="N15" s="19"/>
      <c r="O15" s="17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74" t="s">
        <v>38</v>
      </c>
      <c r="AG15" s="11"/>
    </row>
    <row r="16" spans="1:33" ht="129.44999999999999" customHeight="1" x14ac:dyDescent="0.45">
      <c r="A16" s="77"/>
      <c r="B16" s="75"/>
      <c r="C16" s="75"/>
      <c r="D16" s="79"/>
      <c r="E16" s="83"/>
      <c r="F16" s="78"/>
      <c r="G16" s="16" t="s">
        <v>27</v>
      </c>
      <c r="H16" s="19"/>
      <c r="I16" s="19"/>
      <c r="J16" s="21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75"/>
      <c r="AG16" s="11"/>
    </row>
    <row r="17" spans="1:33" ht="101.55" customHeight="1" x14ac:dyDescent="0.45">
      <c r="A17" s="76">
        <v>5</v>
      </c>
      <c r="B17" s="74" t="s">
        <v>39</v>
      </c>
      <c r="C17" s="74" t="s">
        <v>40</v>
      </c>
      <c r="D17" s="78" t="s">
        <v>23</v>
      </c>
      <c r="E17" s="78" t="s">
        <v>30</v>
      </c>
      <c r="F17" s="78">
        <v>4</v>
      </c>
      <c r="G17" s="16" t="s">
        <v>25</v>
      </c>
      <c r="H17" s="17"/>
      <c r="I17" s="17"/>
      <c r="J17" s="21"/>
      <c r="K17" s="17"/>
      <c r="L17" s="17"/>
      <c r="M17" s="17"/>
      <c r="N17" s="17"/>
      <c r="O17" s="19"/>
      <c r="P17" s="19"/>
      <c r="Q17" s="19"/>
      <c r="R17" s="16"/>
      <c r="S17" s="18">
        <v>22</v>
      </c>
      <c r="T17" s="18">
        <v>29</v>
      </c>
      <c r="U17" s="18">
        <v>5</v>
      </c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84" t="s">
        <v>41</v>
      </c>
      <c r="AG17" s="11"/>
    </row>
    <row r="18" spans="1:33" ht="124.8" customHeight="1" x14ac:dyDescent="0.45">
      <c r="A18" s="77"/>
      <c r="B18" s="75"/>
      <c r="C18" s="75"/>
      <c r="D18" s="79"/>
      <c r="E18" s="78"/>
      <c r="F18" s="78"/>
      <c r="G18" s="16" t="s">
        <v>27</v>
      </c>
      <c r="H18" s="17"/>
      <c r="I18" s="17"/>
      <c r="J18" s="17"/>
      <c r="K18" s="17"/>
      <c r="L18" s="17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85"/>
      <c r="AG18" s="11"/>
    </row>
    <row r="19" spans="1:33" ht="112.95" customHeight="1" x14ac:dyDescent="0.45">
      <c r="A19" s="76">
        <v>6</v>
      </c>
      <c r="B19" s="74" t="s">
        <v>42</v>
      </c>
      <c r="C19" s="74" t="s">
        <v>43</v>
      </c>
      <c r="D19" s="78" t="s">
        <v>23</v>
      </c>
      <c r="E19" s="78" t="s">
        <v>30</v>
      </c>
      <c r="F19" s="78">
        <v>1</v>
      </c>
      <c r="G19" s="16" t="s">
        <v>25</v>
      </c>
      <c r="H19" s="17"/>
      <c r="I19" s="17"/>
      <c r="J19" s="17"/>
      <c r="K19" s="17"/>
      <c r="L19" s="17"/>
      <c r="M19" s="18">
        <v>8</v>
      </c>
      <c r="N19" s="16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84" t="s">
        <v>44</v>
      </c>
      <c r="AG19" s="11"/>
    </row>
    <row r="20" spans="1:33" ht="144.44999999999999" customHeight="1" x14ac:dyDescent="0.45">
      <c r="A20" s="77"/>
      <c r="B20" s="75"/>
      <c r="C20" s="75"/>
      <c r="D20" s="78"/>
      <c r="E20" s="78"/>
      <c r="F20" s="78"/>
      <c r="G20" s="16" t="s">
        <v>27</v>
      </c>
      <c r="H20" s="17"/>
      <c r="I20" s="17"/>
      <c r="J20" s="17"/>
      <c r="K20" s="17"/>
      <c r="L20" s="17"/>
      <c r="M20" s="17"/>
      <c r="N20" s="17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85"/>
      <c r="AG20" s="11"/>
    </row>
    <row r="21" spans="1:33" ht="78" customHeight="1" x14ac:dyDescent="0.45">
      <c r="A21" s="117">
        <v>7</v>
      </c>
      <c r="B21" s="74" t="s">
        <v>45</v>
      </c>
      <c r="C21" s="74" t="s">
        <v>46</v>
      </c>
      <c r="D21" s="78" t="s">
        <v>23</v>
      </c>
      <c r="E21" s="78" t="s">
        <v>30</v>
      </c>
      <c r="F21" s="78">
        <v>1</v>
      </c>
      <c r="G21" s="16" t="s">
        <v>25</v>
      </c>
      <c r="H21" s="17"/>
      <c r="I21" s="17"/>
      <c r="J21" s="17"/>
      <c r="K21" s="17"/>
      <c r="L21" s="17"/>
      <c r="M21" s="17"/>
      <c r="N21" s="17"/>
      <c r="O21" s="19"/>
      <c r="P21" s="19"/>
      <c r="Q21" s="19"/>
      <c r="R21" s="19"/>
      <c r="S21" s="19"/>
      <c r="T21" s="19"/>
      <c r="U21" s="19"/>
      <c r="V21" s="19"/>
      <c r="W21" s="19"/>
      <c r="X21" s="17"/>
      <c r="Y21" s="18">
        <v>1</v>
      </c>
      <c r="Z21" s="19"/>
      <c r="AA21" s="19"/>
      <c r="AB21" s="19"/>
      <c r="AC21" s="19"/>
      <c r="AD21" s="19"/>
      <c r="AE21" s="19"/>
      <c r="AF21" s="74" t="s">
        <v>47</v>
      </c>
      <c r="AG21" s="11"/>
    </row>
    <row r="22" spans="1:33" ht="104.55" customHeight="1" x14ac:dyDescent="0.45">
      <c r="A22" s="118"/>
      <c r="B22" s="75"/>
      <c r="C22" s="75"/>
      <c r="D22" s="78"/>
      <c r="E22" s="78"/>
      <c r="F22" s="78"/>
      <c r="G22" s="16" t="s">
        <v>27</v>
      </c>
      <c r="H22" s="17"/>
      <c r="I22" s="17"/>
      <c r="J22" s="17"/>
      <c r="K22" s="17"/>
      <c r="L22" s="17"/>
      <c r="M22" s="17"/>
      <c r="N22" s="17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75"/>
      <c r="AG22" s="11"/>
    </row>
    <row r="23" spans="1:33" ht="120" customHeight="1" x14ac:dyDescent="0.45">
      <c r="A23" s="76">
        <v>8</v>
      </c>
      <c r="B23" s="74" t="s">
        <v>48</v>
      </c>
      <c r="C23" s="86" t="s">
        <v>49</v>
      </c>
      <c r="D23" s="78" t="s">
        <v>23</v>
      </c>
      <c r="E23" s="78" t="s">
        <v>30</v>
      </c>
      <c r="F23" s="78">
        <v>1</v>
      </c>
      <c r="G23" s="16" t="s">
        <v>25</v>
      </c>
      <c r="H23" s="19"/>
      <c r="I23" s="19"/>
      <c r="J23" s="19"/>
      <c r="K23" s="20"/>
      <c r="L23" s="17"/>
      <c r="M23" s="17"/>
      <c r="N23" s="17"/>
      <c r="O23" s="18">
        <v>2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74" t="s">
        <v>50</v>
      </c>
      <c r="AG23" s="11"/>
    </row>
    <row r="24" spans="1:33" ht="120" customHeight="1" x14ac:dyDescent="0.45">
      <c r="A24" s="77"/>
      <c r="B24" s="75"/>
      <c r="C24" s="87"/>
      <c r="D24" s="79"/>
      <c r="E24" s="78"/>
      <c r="F24" s="78"/>
      <c r="G24" s="16" t="s">
        <v>27</v>
      </c>
      <c r="H24" s="19"/>
      <c r="I24" s="19"/>
      <c r="J24" s="19"/>
      <c r="K24" s="20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9"/>
      <c r="AD24" s="19"/>
      <c r="AE24" s="19"/>
      <c r="AF24" s="75"/>
      <c r="AG24" s="11"/>
    </row>
    <row r="25" spans="1:33" ht="96" customHeight="1" x14ac:dyDescent="0.45">
      <c r="A25" s="76">
        <v>9</v>
      </c>
      <c r="B25" s="74" t="s">
        <v>51</v>
      </c>
      <c r="C25" s="74" t="s">
        <v>52</v>
      </c>
      <c r="D25" s="78" t="s">
        <v>23</v>
      </c>
      <c r="E25" s="78" t="s">
        <v>30</v>
      </c>
      <c r="F25" s="78">
        <v>1</v>
      </c>
      <c r="G25" s="16" t="s">
        <v>25</v>
      </c>
      <c r="H25" s="19"/>
      <c r="I25" s="19"/>
      <c r="J25" s="19"/>
      <c r="K25" s="20"/>
      <c r="L25" s="22"/>
      <c r="M25" s="17"/>
      <c r="N25" s="17"/>
      <c r="O25" s="17"/>
      <c r="P25" s="18">
        <v>1</v>
      </c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84" t="s">
        <v>53</v>
      </c>
      <c r="AG25" s="11"/>
    </row>
    <row r="26" spans="1:33" ht="108" customHeight="1" x14ac:dyDescent="0.45">
      <c r="A26" s="77"/>
      <c r="B26" s="75"/>
      <c r="C26" s="75"/>
      <c r="D26" s="79"/>
      <c r="E26" s="78"/>
      <c r="F26" s="78"/>
      <c r="G26" s="16" t="s">
        <v>27</v>
      </c>
      <c r="H26" s="19"/>
      <c r="I26" s="19"/>
      <c r="J26" s="19"/>
      <c r="K26" s="20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9"/>
      <c r="AD26" s="19"/>
      <c r="AE26" s="19"/>
      <c r="AF26" s="88"/>
      <c r="AG26" s="11"/>
    </row>
    <row r="27" spans="1:33" ht="68.400000000000006" customHeight="1" x14ac:dyDescent="0.45">
      <c r="A27" s="76">
        <v>10</v>
      </c>
      <c r="B27" s="74" t="s">
        <v>54</v>
      </c>
      <c r="C27" s="86" t="s">
        <v>55</v>
      </c>
      <c r="D27" s="78" t="s">
        <v>23</v>
      </c>
      <c r="E27" s="78"/>
      <c r="F27" s="78"/>
      <c r="G27" s="16" t="s">
        <v>25</v>
      </c>
      <c r="H27" s="19"/>
      <c r="I27" s="19"/>
      <c r="J27" s="19"/>
      <c r="K27" s="20"/>
      <c r="L27" s="17"/>
      <c r="M27" s="17"/>
      <c r="N27" s="17"/>
      <c r="O27" s="17"/>
      <c r="P27" s="18">
        <v>1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9"/>
      <c r="AD27" s="19"/>
      <c r="AE27" s="19"/>
      <c r="AF27" s="88"/>
      <c r="AG27" s="11"/>
    </row>
    <row r="28" spans="1:33" ht="75.45" customHeight="1" x14ac:dyDescent="0.45">
      <c r="A28" s="77"/>
      <c r="B28" s="75"/>
      <c r="C28" s="87"/>
      <c r="D28" s="79"/>
      <c r="E28" s="78"/>
      <c r="F28" s="78"/>
      <c r="G28" s="16" t="s">
        <v>27</v>
      </c>
      <c r="H28" s="19"/>
      <c r="I28" s="19"/>
      <c r="J28" s="19"/>
      <c r="K28" s="20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9"/>
      <c r="AD28" s="19"/>
      <c r="AE28" s="19"/>
      <c r="AF28" s="85"/>
      <c r="AG28" s="11"/>
    </row>
    <row r="29" spans="1:33" ht="133.94999999999999" customHeight="1" x14ac:dyDescent="0.45">
      <c r="A29" s="76">
        <f t="shared" ref="A29:A57" si="0">A27+1</f>
        <v>11</v>
      </c>
      <c r="B29" s="74" t="s">
        <v>56</v>
      </c>
      <c r="C29" s="86" t="s">
        <v>57</v>
      </c>
      <c r="D29" s="78" t="s">
        <v>23</v>
      </c>
      <c r="E29" s="78" t="s">
        <v>30</v>
      </c>
      <c r="F29" s="78">
        <v>1</v>
      </c>
      <c r="G29" s="16" t="s">
        <v>25</v>
      </c>
      <c r="H29" s="19"/>
      <c r="I29" s="19"/>
      <c r="J29" s="19"/>
      <c r="K29" s="20"/>
      <c r="L29" s="22"/>
      <c r="M29" s="17"/>
      <c r="N29" s="17"/>
      <c r="O29" s="17"/>
      <c r="P29" s="17"/>
      <c r="Q29" s="18">
        <v>8</v>
      </c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74" t="s">
        <v>58</v>
      </c>
      <c r="AG29" s="11"/>
    </row>
    <row r="30" spans="1:33" ht="117.6" customHeight="1" x14ac:dyDescent="0.45">
      <c r="A30" s="77"/>
      <c r="B30" s="75"/>
      <c r="C30" s="87"/>
      <c r="D30" s="79"/>
      <c r="E30" s="78"/>
      <c r="F30" s="78"/>
      <c r="G30" s="16" t="s">
        <v>27</v>
      </c>
      <c r="H30" s="19"/>
      <c r="I30" s="19"/>
      <c r="J30" s="19"/>
      <c r="K30" s="20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9"/>
      <c r="AD30" s="19"/>
      <c r="AE30" s="19"/>
      <c r="AF30" s="89"/>
      <c r="AG30" s="11"/>
    </row>
    <row r="31" spans="1:33" ht="98.4" customHeight="1" x14ac:dyDescent="0.45">
      <c r="A31" s="76">
        <f t="shared" si="0"/>
        <v>12</v>
      </c>
      <c r="B31" s="74" t="s">
        <v>59</v>
      </c>
      <c r="C31" s="74" t="s">
        <v>60</v>
      </c>
      <c r="D31" s="78" t="s">
        <v>23</v>
      </c>
      <c r="E31" s="78" t="s">
        <v>30</v>
      </c>
      <c r="F31" s="78">
        <v>1</v>
      </c>
      <c r="G31" s="16" t="s">
        <v>25</v>
      </c>
      <c r="H31" s="19"/>
      <c r="I31" s="19"/>
      <c r="J31" s="19"/>
      <c r="K31" s="20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8">
        <v>12</v>
      </c>
      <c r="W31" s="17"/>
      <c r="X31" s="17"/>
      <c r="Y31" s="17"/>
      <c r="Z31" s="17"/>
      <c r="AA31" s="17"/>
      <c r="AB31" s="17"/>
      <c r="AC31" s="19"/>
      <c r="AD31" s="19"/>
      <c r="AE31" s="19"/>
      <c r="AF31" s="74" t="s">
        <v>61</v>
      </c>
      <c r="AG31" s="11"/>
    </row>
    <row r="32" spans="1:33" ht="94.2" customHeight="1" x14ac:dyDescent="0.45">
      <c r="A32" s="77"/>
      <c r="B32" s="75"/>
      <c r="C32" s="75"/>
      <c r="D32" s="79"/>
      <c r="E32" s="78"/>
      <c r="F32" s="78"/>
      <c r="G32" s="16" t="s">
        <v>27</v>
      </c>
      <c r="H32" s="19"/>
      <c r="I32" s="19"/>
      <c r="J32" s="19"/>
      <c r="K32" s="20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9"/>
      <c r="AD32" s="19"/>
      <c r="AE32" s="19"/>
      <c r="AF32" s="89"/>
      <c r="AG32" s="11"/>
    </row>
    <row r="33" spans="1:33" s="25" customFormat="1" ht="98.4" customHeight="1" x14ac:dyDescent="0.45">
      <c r="A33" s="76">
        <f t="shared" si="0"/>
        <v>13</v>
      </c>
      <c r="B33" s="74" t="s">
        <v>62</v>
      </c>
      <c r="C33" s="74" t="s">
        <v>63</v>
      </c>
      <c r="D33" s="78" t="s">
        <v>23</v>
      </c>
      <c r="E33" s="78" t="s">
        <v>30</v>
      </c>
      <c r="F33" s="78">
        <v>1</v>
      </c>
      <c r="G33" s="23" t="s">
        <v>25</v>
      </c>
      <c r="H33" s="23"/>
      <c r="I33" s="23"/>
      <c r="J33" s="23"/>
      <c r="K33" s="23"/>
      <c r="L33" s="24"/>
      <c r="M33" s="24"/>
      <c r="N33" s="24"/>
      <c r="O33" s="17"/>
      <c r="P33" s="17"/>
      <c r="Q33" s="17"/>
      <c r="S33" s="24"/>
      <c r="T33" s="24"/>
      <c r="U33" s="24"/>
      <c r="V33" s="24"/>
      <c r="W33" s="18">
        <v>19</v>
      </c>
      <c r="X33" s="24"/>
      <c r="Y33" s="24"/>
      <c r="Z33" s="24"/>
      <c r="AA33" s="24"/>
      <c r="AB33" s="24"/>
      <c r="AC33" s="23"/>
      <c r="AD33" s="23"/>
      <c r="AE33" s="23"/>
      <c r="AF33" s="74" t="s">
        <v>64</v>
      </c>
      <c r="AG33" s="26"/>
    </row>
    <row r="34" spans="1:33" s="25" customFormat="1" ht="99" customHeight="1" x14ac:dyDescent="0.25">
      <c r="A34" s="77"/>
      <c r="B34" s="75"/>
      <c r="C34" s="75"/>
      <c r="D34" s="79"/>
      <c r="E34" s="78"/>
      <c r="F34" s="78"/>
      <c r="G34" s="23" t="s">
        <v>27</v>
      </c>
      <c r="H34" s="23"/>
      <c r="I34" s="23"/>
      <c r="J34" s="23"/>
      <c r="K34" s="23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3"/>
      <c r="AD34" s="23"/>
      <c r="AE34" s="23"/>
      <c r="AF34" s="89"/>
      <c r="AG34" s="26"/>
    </row>
    <row r="35" spans="1:33" ht="94.2" customHeight="1" x14ac:dyDescent="0.45">
      <c r="A35" s="76">
        <f t="shared" si="0"/>
        <v>14</v>
      </c>
      <c r="B35" s="74" t="s">
        <v>65</v>
      </c>
      <c r="C35" s="74" t="s">
        <v>66</v>
      </c>
      <c r="D35" s="78" t="s">
        <v>67</v>
      </c>
      <c r="E35" s="78" t="s">
        <v>30</v>
      </c>
      <c r="F35" s="78">
        <v>1</v>
      </c>
      <c r="G35" s="16" t="s">
        <v>25</v>
      </c>
      <c r="H35" s="19"/>
      <c r="I35" s="19"/>
      <c r="J35" s="19"/>
      <c r="K35" s="20"/>
      <c r="L35" s="17"/>
      <c r="M35" s="17"/>
      <c r="N35" s="17"/>
      <c r="O35" s="24"/>
      <c r="P35" s="24"/>
      <c r="Q35" s="24"/>
      <c r="R35" s="17"/>
      <c r="S35" s="17"/>
      <c r="T35" s="17"/>
      <c r="U35" s="17"/>
      <c r="V35" s="17"/>
      <c r="W35" s="17"/>
      <c r="X35" s="18">
        <v>27</v>
      </c>
      <c r="Y35" s="17"/>
      <c r="Z35" s="17"/>
      <c r="AA35" s="17"/>
      <c r="AB35" s="19"/>
      <c r="AC35" s="19"/>
      <c r="AD35" s="19"/>
      <c r="AE35" s="17"/>
      <c r="AF35" s="74" t="s">
        <v>68</v>
      </c>
      <c r="AG35" s="11"/>
    </row>
    <row r="36" spans="1:33" ht="76.8" customHeight="1" x14ac:dyDescent="0.45">
      <c r="A36" s="77"/>
      <c r="B36" s="75"/>
      <c r="C36" s="75"/>
      <c r="D36" s="79"/>
      <c r="E36" s="78"/>
      <c r="F36" s="78"/>
      <c r="G36" s="16" t="s">
        <v>27</v>
      </c>
      <c r="H36" s="19"/>
      <c r="I36" s="19"/>
      <c r="J36" s="19"/>
      <c r="K36" s="20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9"/>
      <c r="AC36" s="19"/>
      <c r="AD36" s="19"/>
      <c r="AE36" s="17"/>
      <c r="AF36" s="89"/>
      <c r="AG36" s="11"/>
    </row>
    <row r="37" spans="1:33" ht="64.5" customHeight="1" x14ac:dyDescent="0.45">
      <c r="A37" s="76">
        <f>A35+1</f>
        <v>15</v>
      </c>
      <c r="B37" s="74" t="s">
        <v>69</v>
      </c>
      <c r="C37" s="74" t="s">
        <v>70</v>
      </c>
      <c r="D37" s="78" t="s">
        <v>67</v>
      </c>
      <c r="E37" s="78" t="s">
        <v>30</v>
      </c>
      <c r="F37" s="78">
        <v>3</v>
      </c>
      <c r="G37" s="16" t="s">
        <v>25</v>
      </c>
      <c r="H37" s="19"/>
      <c r="I37" s="19"/>
      <c r="J37" s="19"/>
      <c r="K37" s="19"/>
      <c r="L37" s="19"/>
      <c r="M37" s="19"/>
      <c r="N37" s="19"/>
      <c r="O37" s="19"/>
      <c r="P37" s="17"/>
      <c r="Q37" s="17"/>
      <c r="R37" s="17"/>
      <c r="S37" s="22"/>
      <c r="T37" s="19"/>
      <c r="U37" s="19"/>
      <c r="V37" s="19"/>
      <c r="W37" s="19"/>
      <c r="X37" s="19"/>
      <c r="Y37" s="19"/>
      <c r="Z37" s="18" t="s">
        <v>71</v>
      </c>
      <c r="AA37" s="19"/>
      <c r="AB37" s="19"/>
      <c r="AC37" s="19"/>
      <c r="AD37" s="19"/>
      <c r="AE37" s="19"/>
      <c r="AF37" s="74" t="s">
        <v>72</v>
      </c>
      <c r="AG37" s="11"/>
    </row>
    <row r="38" spans="1:33" ht="70.95" customHeight="1" x14ac:dyDescent="0.45">
      <c r="A38" s="77"/>
      <c r="B38" s="75"/>
      <c r="C38" s="75"/>
      <c r="D38" s="79"/>
      <c r="E38" s="78"/>
      <c r="F38" s="78"/>
      <c r="G38" s="16" t="s">
        <v>27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89"/>
      <c r="AG38" s="11"/>
    </row>
    <row r="39" spans="1:33" ht="98.55" customHeight="1" x14ac:dyDescent="0.45">
      <c r="A39" s="117">
        <v>16</v>
      </c>
      <c r="B39" s="74" t="s">
        <v>73</v>
      </c>
      <c r="C39" s="74" t="s">
        <v>74</v>
      </c>
      <c r="D39" s="78" t="s">
        <v>23</v>
      </c>
      <c r="E39" s="78" t="s">
        <v>30</v>
      </c>
      <c r="F39" s="78">
        <v>2</v>
      </c>
      <c r="G39" s="16" t="s">
        <v>25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U39" s="19"/>
      <c r="V39" s="19"/>
      <c r="W39" s="19"/>
      <c r="X39" s="19"/>
      <c r="Y39" s="27" t="s">
        <v>75</v>
      </c>
      <c r="Z39" s="19"/>
      <c r="AA39" s="19"/>
      <c r="AB39" s="19"/>
      <c r="AC39" s="19"/>
      <c r="AD39" s="19"/>
      <c r="AE39" s="19"/>
      <c r="AF39" s="74" t="s">
        <v>76</v>
      </c>
      <c r="AG39" s="11"/>
    </row>
    <row r="40" spans="1:33" ht="127.05" customHeight="1" x14ac:dyDescent="0.45">
      <c r="A40" s="118"/>
      <c r="B40" s="75"/>
      <c r="C40" s="75"/>
      <c r="D40" s="78"/>
      <c r="E40" s="78"/>
      <c r="F40" s="78"/>
      <c r="G40" s="16" t="s">
        <v>27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75"/>
      <c r="AG40" s="11"/>
    </row>
    <row r="41" spans="1:33" ht="45.45" customHeight="1" x14ac:dyDescent="0.45">
      <c r="A41" s="76">
        <v>17</v>
      </c>
      <c r="B41" s="74" t="s">
        <v>77</v>
      </c>
      <c r="C41" s="74" t="s">
        <v>78</v>
      </c>
      <c r="D41" s="93" t="s">
        <v>79</v>
      </c>
      <c r="E41" s="79" t="s">
        <v>80</v>
      </c>
      <c r="F41" s="79" t="s">
        <v>80</v>
      </c>
      <c r="G41" s="16" t="s">
        <v>25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7"/>
      <c r="V41" s="19"/>
      <c r="W41" s="19"/>
      <c r="X41" s="19"/>
      <c r="Y41" s="19"/>
      <c r="Z41" s="28"/>
      <c r="AA41" s="19"/>
      <c r="AB41" s="19"/>
      <c r="AC41" s="19"/>
      <c r="AD41" s="19"/>
      <c r="AE41" s="19"/>
      <c r="AF41" s="90" t="s">
        <v>81</v>
      </c>
      <c r="AG41" s="11"/>
    </row>
    <row r="42" spans="1:33" ht="49.05" customHeight="1" x14ac:dyDescent="0.45">
      <c r="A42" s="77"/>
      <c r="B42" s="75"/>
      <c r="C42" s="75"/>
      <c r="D42" s="93"/>
      <c r="E42" s="79"/>
      <c r="F42" s="79"/>
      <c r="G42" s="16" t="s">
        <v>27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91"/>
      <c r="AG42" s="11"/>
    </row>
    <row r="43" spans="1:33" ht="33" customHeight="1" x14ac:dyDescent="0.45">
      <c r="A43" s="76">
        <f t="shared" si="0"/>
        <v>18</v>
      </c>
      <c r="B43" s="74" t="s">
        <v>82</v>
      </c>
      <c r="C43" s="74" t="s">
        <v>83</v>
      </c>
      <c r="D43" s="93" t="s">
        <v>79</v>
      </c>
      <c r="E43" s="79" t="s">
        <v>80</v>
      </c>
      <c r="F43" s="79" t="s">
        <v>80</v>
      </c>
      <c r="G43" s="16" t="s">
        <v>25</v>
      </c>
      <c r="H43" s="19"/>
      <c r="I43" s="19"/>
      <c r="J43" s="19"/>
      <c r="K43" s="19"/>
      <c r="L43" s="19"/>
      <c r="M43" s="19"/>
      <c r="N43" s="19"/>
      <c r="O43" s="19"/>
      <c r="P43" s="20"/>
      <c r="Q43" s="19"/>
      <c r="R43" s="19"/>
      <c r="S43" s="19"/>
      <c r="T43" s="17"/>
      <c r="U43" s="22"/>
      <c r="V43" s="17"/>
      <c r="W43" s="17"/>
      <c r="X43" s="17"/>
      <c r="Y43" s="17"/>
      <c r="Z43" s="29"/>
      <c r="AA43" s="17"/>
      <c r="AB43" s="22"/>
      <c r="AC43" s="19"/>
      <c r="AD43" s="20"/>
      <c r="AE43" s="17"/>
      <c r="AF43" s="91"/>
      <c r="AG43" s="11"/>
    </row>
    <row r="44" spans="1:33" ht="33" customHeight="1" x14ac:dyDescent="0.45">
      <c r="A44" s="77"/>
      <c r="B44" s="75"/>
      <c r="C44" s="75"/>
      <c r="D44" s="93"/>
      <c r="E44" s="79"/>
      <c r="F44" s="79"/>
      <c r="G44" s="16" t="s">
        <v>27</v>
      </c>
      <c r="H44" s="19"/>
      <c r="I44" s="19"/>
      <c r="J44" s="19"/>
      <c r="K44" s="19"/>
      <c r="L44" s="19"/>
      <c r="M44" s="19"/>
      <c r="N44" s="19"/>
      <c r="O44" s="19"/>
      <c r="P44" s="17"/>
      <c r="Q44" s="22"/>
      <c r="R44" s="19"/>
      <c r="S44" s="17"/>
      <c r="T44" s="17"/>
      <c r="U44" s="17"/>
      <c r="V44" s="17"/>
      <c r="W44" s="17"/>
      <c r="X44" s="17"/>
      <c r="Y44" s="17"/>
      <c r="Z44" s="17"/>
      <c r="AA44" s="17"/>
      <c r="AB44" s="22"/>
      <c r="AC44" s="19"/>
      <c r="AD44" s="20"/>
      <c r="AE44" s="17"/>
      <c r="AF44" s="92"/>
      <c r="AG44" s="11"/>
    </row>
    <row r="45" spans="1:33" ht="60" customHeight="1" x14ac:dyDescent="0.45">
      <c r="A45" s="76">
        <f t="shared" si="0"/>
        <v>19</v>
      </c>
      <c r="B45" s="74" t="s">
        <v>84</v>
      </c>
      <c r="C45" s="74" t="s">
        <v>85</v>
      </c>
      <c r="D45" s="78" t="s">
        <v>67</v>
      </c>
      <c r="E45" s="78" t="s">
        <v>86</v>
      </c>
      <c r="F45" s="78">
        <v>2</v>
      </c>
      <c r="G45" s="16" t="s">
        <v>25</v>
      </c>
      <c r="H45" s="19"/>
      <c r="I45" s="19"/>
      <c r="J45" s="19"/>
      <c r="K45" s="19"/>
      <c r="L45" s="19"/>
      <c r="M45" s="19"/>
      <c r="N45" s="19"/>
      <c r="O45" s="19"/>
      <c r="P45" s="17"/>
      <c r="Q45" s="20"/>
      <c r="R45" s="19"/>
      <c r="S45" s="17"/>
      <c r="T45" s="17"/>
      <c r="U45" s="17"/>
      <c r="V45" s="19"/>
      <c r="W45" s="19"/>
      <c r="X45" s="19"/>
      <c r="Y45" s="19"/>
      <c r="Z45" s="19"/>
      <c r="AA45" s="18" t="s">
        <v>87</v>
      </c>
      <c r="AB45" s="19"/>
      <c r="AC45" s="19"/>
      <c r="AD45" s="20"/>
      <c r="AE45" s="17"/>
      <c r="AF45" s="94" t="s">
        <v>88</v>
      </c>
      <c r="AG45" s="11"/>
    </row>
    <row r="46" spans="1:33" ht="60" customHeight="1" x14ac:dyDescent="0.45">
      <c r="A46" s="77"/>
      <c r="B46" s="75"/>
      <c r="C46" s="75"/>
      <c r="D46" s="79"/>
      <c r="E46" s="78"/>
      <c r="F46" s="78"/>
      <c r="G46" s="16" t="s">
        <v>27</v>
      </c>
      <c r="H46" s="19"/>
      <c r="I46" s="19"/>
      <c r="J46" s="19"/>
      <c r="K46" s="19"/>
      <c r="L46" s="19"/>
      <c r="M46" s="19"/>
      <c r="N46" s="19"/>
      <c r="O46" s="19"/>
      <c r="P46" s="17"/>
      <c r="Q46" s="20"/>
      <c r="R46" s="19"/>
      <c r="S46" s="17"/>
      <c r="T46" s="17"/>
      <c r="U46" s="17"/>
      <c r="V46" s="19"/>
      <c r="W46" s="19"/>
      <c r="X46" s="19"/>
      <c r="Y46" s="19"/>
      <c r="Z46" s="19"/>
      <c r="AA46" s="19"/>
      <c r="AB46" s="19"/>
      <c r="AC46" s="19"/>
      <c r="AD46" s="20"/>
      <c r="AE46" s="17"/>
      <c r="AF46" s="95"/>
      <c r="AG46" s="11"/>
    </row>
    <row r="47" spans="1:33" ht="45" customHeight="1" x14ac:dyDescent="0.45">
      <c r="A47" s="76">
        <f t="shared" si="0"/>
        <v>20</v>
      </c>
      <c r="B47" s="74" t="s">
        <v>89</v>
      </c>
      <c r="C47" s="74" t="s">
        <v>90</v>
      </c>
      <c r="D47" s="78" t="s">
        <v>67</v>
      </c>
      <c r="E47" s="78" t="s">
        <v>30</v>
      </c>
      <c r="F47" s="78">
        <v>1</v>
      </c>
      <c r="G47" s="16" t="s">
        <v>25</v>
      </c>
      <c r="H47" s="19"/>
      <c r="I47" s="19"/>
      <c r="J47" s="19"/>
      <c r="K47" s="19"/>
      <c r="L47" s="19"/>
      <c r="M47" s="19"/>
      <c r="N47" s="19"/>
      <c r="O47" s="19"/>
      <c r="P47" s="17"/>
      <c r="Q47" s="20"/>
      <c r="R47" s="19"/>
      <c r="S47" s="17"/>
      <c r="T47" s="17"/>
      <c r="U47" s="17"/>
      <c r="V47" s="19"/>
      <c r="W47" s="19"/>
      <c r="X47" s="19"/>
      <c r="Y47" s="19"/>
      <c r="Z47" s="19"/>
      <c r="AA47" s="18">
        <v>28</v>
      </c>
      <c r="AB47" s="19"/>
      <c r="AC47" s="19"/>
      <c r="AD47" s="20"/>
      <c r="AE47" s="17"/>
      <c r="AF47" s="96" t="s">
        <v>91</v>
      </c>
      <c r="AG47" s="11"/>
    </row>
    <row r="48" spans="1:33" ht="41.55" customHeight="1" x14ac:dyDescent="0.45">
      <c r="A48" s="77"/>
      <c r="B48" s="75"/>
      <c r="C48" s="75"/>
      <c r="D48" s="79"/>
      <c r="E48" s="78"/>
      <c r="F48" s="78"/>
      <c r="G48" s="16" t="s">
        <v>27</v>
      </c>
      <c r="H48" s="19"/>
      <c r="I48" s="19"/>
      <c r="J48" s="19"/>
      <c r="K48" s="19"/>
      <c r="L48" s="19"/>
      <c r="M48" s="19"/>
      <c r="N48" s="19"/>
      <c r="O48" s="19"/>
      <c r="P48" s="17"/>
      <c r="Q48" s="17"/>
      <c r="R48" s="17"/>
      <c r="S48" s="17"/>
      <c r="T48" s="17"/>
      <c r="U48" s="17"/>
      <c r="V48" s="19"/>
      <c r="W48" s="19"/>
      <c r="X48" s="19"/>
      <c r="Y48" s="19"/>
      <c r="Z48" s="19"/>
      <c r="AA48" s="19"/>
      <c r="AB48" s="19"/>
      <c r="AC48" s="19"/>
      <c r="AD48" s="20"/>
      <c r="AE48" s="17"/>
      <c r="AF48" s="95"/>
      <c r="AG48" s="11"/>
    </row>
    <row r="49" spans="1:33" ht="33" customHeight="1" x14ac:dyDescent="0.45">
      <c r="A49" s="76">
        <f t="shared" si="0"/>
        <v>21</v>
      </c>
      <c r="B49" s="82" t="s">
        <v>92</v>
      </c>
      <c r="C49" s="82"/>
      <c r="D49" s="99" t="s">
        <v>93</v>
      </c>
      <c r="E49" s="101" t="s">
        <v>80</v>
      </c>
      <c r="F49" s="101"/>
      <c r="G49" s="16" t="s">
        <v>25</v>
      </c>
      <c r="H49" s="19"/>
      <c r="I49" s="19"/>
      <c r="J49" s="19"/>
      <c r="K49" s="19"/>
      <c r="L49" s="19"/>
      <c r="M49" s="19"/>
      <c r="N49" s="19"/>
      <c r="O49" s="19"/>
      <c r="P49" s="17"/>
      <c r="Q49" s="22"/>
      <c r="R49" s="17"/>
      <c r="S49" s="17"/>
      <c r="T49" s="17"/>
      <c r="U49" s="17"/>
      <c r="V49" s="19"/>
      <c r="W49" s="19"/>
      <c r="X49" s="20"/>
      <c r="Y49" s="19"/>
      <c r="Z49" s="19"/>
      <c r="AA49" s="20"/>
      <c r="AB49" s="30"/>
      <c r="AC49" s="30"/>
      <c r="AD49" s="31"/>
      <c r="AE49" s="32"/>
      <c r="AF49" s="97" t="s">
        <v>94</v>
      </c>
      <c r="AG49" s="8"/>
    </row>
    <row r="50" spans="1:33" ht="33" customHeight="1" x14ac:dyDescent="0.45">
      <c r="A50" s="77"/>
      <c r="B50" s="83"/>
      <c r="C50" s="83"/>
      <c r="D50" s="100"/>
      <c r="E50" s="101"/>
      <c r="F50" s="101"/>
      <c r="G50" s="16" t="s">
        <v>27</v>
      </c>
      <c r="H50" s="19"/>
      <c r="I50" s="19"/>
      <c r="J50" s="19"/>
      <c r="K50" s="19"/>
      <c r="L50" s="19"/>
      <c r="M50" s="19"/>
      <c r="N50" s="19"/>
      <c r="O50" s="19"/>
      <c r="P50" s="17"/>
      <c r="Q50" s="22"/>
      <c r="R50" s="17"/>
      <c r="S50" s="20"/>
      <c r="T50" s="20"/>
      <c r="U50" s="20"/>
      <c r="V50" s="20"/>
      <c r="W50" s="20"/>
      <c r="X50" s="20"/>
      <c r="Y50" s="19"/>
      <c r="Z50" s="19"/>
      <c r="AA50" s="20"/>
      <c r="AB50" s="19"/>
      <c r="AC50" s="19"/>
      <c r="AD50" s="20"/>
      <c r="AE50" s="17"/>
      <c r="AF50" s="98"/>
      <c r="AG50" s="11"/>
    </row>
    <row r="51" spans="1:33" ht="33" customHeight="1" x14ac:dyDescent="0.45">
      <c r="A51" s="76">
        <f t="shared" si="0"/>
        <v>22</v>
      </c>
      <c r="B51" s="74" t="s">
        <v>95</v>
      </c>
      <c r="C51" s="74" t="s">
        <v>96</v>
      </c>
      <c r="D51" s="78" t="s">
        <v>67</v>
      </c>
      <c r="E51" s="78" t="s">
        <v>30</v>
      </c>
      <c r="F51" s="78">
        <v>1</v>
      </c>
      <c r="G51" s="16" t="s">
        <v>25</v>
      </c>
      <c r="H51" s="19"/>
      <c r="I51" s="19"/>
      <c r="J51" s="19"/>
      <c r="K51" s="19"/>
      <c r="L51" s="19"/>
      <c r="M51" s="19"/>
      <c r="N51" s="19"/>
      <c r="O51" s="19"/>
      <c r="P51" s="17"/>
      <c r="Q51" s="17"/>
      <c r="R51" s="17"/>
      <c r="S51" s="20"/>
      <c r="T51" s="20"/>
      <c r="U51" s="20"/>
      <c r="V51" s="20"/>
      <c r="W51" s="20"/>
      <c r="X51" s="20"/>
      <c r="Y51" s="19"/>
      <c r="Z51" s="19"/>
      <c r="AA51" s="20"/>
      <c r="AB51" s="19"/>
      <c r="AC51" s="19"/>
      <c r="AD51" s="20"/>
      <c r="AE51" s="17"/>
      <c r="AF51" s="96" t="s">
        <v>97</v>
      </c>
      <c r="AG51" s="11"/>
    </row>
    <row r="52" spans="1:33" ht="33" customHeight="1" x14ac:dyDescent="0.45">
      <c r="A52" s="77"/>
      <c r="B52" s="75"/>
      <c r="C52" s="75"/>
      <c r="D52" s="79"/>
      <c r="E52" s="78"/>
      <c r="F52" s="78"/>
      <c r="G52" s="16" t="s">
        <v>27</v>
      </c>
      <c r="H52" s="19"/>
      <c r="I52" s="19"/>
      <c r="J52" s="19"/>
      <c r="K52" s="19"/>
      <c r="L52" s="19"/>
      <c r="M52" s="19"/>
      <c r="N52" s="19"/>
      <c r="O52" s="19"/>
      <c r="P52" s="17"/>
      <c r="Q52" s="17"/>
      <c r="R52" s="17"/>
      <c r="S52" s="17"/>
      <c r="T52" s="17"/>
      <c r="U52" s="17"/>
      <c r="V52" s="19"/>
      <c r="W52" s="19"/>
      <c r="X52" s="19"/>
      <c r="Y52" s="19"/>
      <c r="Z52" s="19"/>
      <c r="AA52" s="20"/>
      <c r="AB52" s="19"/>
      <c r="AC52" s="19"/>
      <c r="AD52" s="20"/>
      <c r="AE52" s="17"/>
      <c r="AF52" s="95"/>
      <c r="AG52" s="11"/>
    </row>
    <row r="53" spans="1:33" ht="33" customHeight="1" x14ac:dyDescent="0.45">
      <c r="A53" s="76">
        <f t="shared" si="0"/>
        <v>23</v>
      </c>
      <c r="B53" s="82" t="s">
        <v>98</v>
      </c>
      <c r="C53" s="82"/>
      <c r="D53" s="99" t="s">
        <v>99</v>
      </c>
      <c r="E53" s="101" t="s">
        <v>80</v>
      </c>
      <c r="F53" s="101"/>
      <c r="G53" s="16" t="s">
        <v>25</v>
      </c>
      <c r="H53" s="19"/>
      <c r="I53" s="19"/>
      <c r="J53" s="19"/>
      <c r="K53" s="19"/>
      <c r="L53" s="19"/>
      <c r="M53" s="19"/>
      <c r="N53" s="19"/>
      <c r="O53" s="19"/>
      <c r="P53" s="17"/>
      <c r="Q53" s="17"/>
      <c r="R53" s="17"/>
      <c r="S53" s="17"/>
      <c r="T53" s="17"/>
      <c r="U53" s="17"/>
      <c r="V53" s="19"/>
      <c r="W53" s="19"/>
      <c r="X53" s="19"/>
      <c r="Y53" s="19"/>
      <c r="Z53" s="20"/>
      <c r="AA53" s="20"/>
      <c r="AB53" s="30"/>
      <c r="AC53" s="30"/>
      <c r="AD53" s="31"/>
      <c r="AE53" s="32"/>
      <c r="AF53" s="97" t="s">
        <v>94</v>
      </c>
      <c r="AG53" s="11"/>
    </row>
    <row r="54" spans="1:33" ht="33" customHeight="1" x14ac:dyDescent="0.45">
      <c r="A54" s="77"/>
      <c r="B54" s="83"/>
      <c r="C54" s="83"/>
      <c r="D54" s="100"/>
      <c r="E54" s="101"/>
      <c r="F54" s="101"/>
      <c r="G54" s="16" t="s">
        <v>27</v>
      </c>
      <c r="H54" s="19"/>
      <c r="I54" s="19"/>
      <c r="J54" s="19"/>
      <c r="K54" s="19"/>
      <c r="L54" s="19"/>
      <c r="M54" s="19"/>
      <c r="N54" s="19"/>
      <c r="O54" s="19"/>
      <c r="P54" s="17"/>
      <c r="Q54" s="17"/>
      <c r="R54" s="17"/>
      <c r="S54" s="17"/>
      <c r="T54" s="17"/>
      <c r="U54" s="17"/>
      <c r="V54" s="19"/>
      <c r="W54" s="19"/>
      <c r="X54" s="19"/>
      <c r="Y54" s="19"/>
      <c r="Z54" s="19"/>
      <c r="AA54" s="20"/>
      <c r="AB54" s="19"/>
      <c r="AC54" s="19"/>
      <c r="AD54" s="20"/>
      <c r="AE54" s="17"/>
      <c r="AF54" s="98"/>
      <c r="AG54" s="11"/>
    </row>
    <row r="55" spans="1:33" ht="33" customHeight="1" x14ac:dyDescent="0.45">
      <c r="A55" s="76">
        <f t="shared" si="0"/>
        <v>24</v>
      </c>
      <c r="B55" s="74" t="s">
        <v>100</v>
      </c>
      <c r="C55" s="74" t="s">
        <v>101</v>
      </c>
      <c r="D55" s="78" t="s">
        <v>23</v>
      </c>
      <c r="E55" s="78" t="s">
        <v>30</v>
      </c>
      <c r="F55" s="78">
        <v>1</v>
      </c>
      <c r="G55" s="16" t="s">
        <v>25</v>
      </c>
      <c r="H55" s="19"/>
      <c r="I55" s="19"/>
      <c r="J55" s="19"/>
      <c r="K55" s="19"/>
      <c r="L55" s="19"/>
      <c r="M55" s="19"/>
      <c r="N55" s="19"/>
      <c r="O55" s="19"/>
      <c r="P55" s="17"/>
      <c r="Q55" s="19"/>
      <c r="R55" s="17"/>
      <c r="S55" s="17"/>
      <c r="T55" s="17"/>
      <c r="U55" s="17"/>
      <c r="V55" s="19"/>
      <c r="W55" s="19"/>
      <c r="X55" s="19"/>
      <c r="Y55" s="19"/>
      <c r="Z55" s="19"/>
      <c r="AA55" s="20"/>
      <c r="AB55" s="19"/>
      <c r="AC55" s="19"/>
      <c r="AD55" s="20"/>
      <c r="AE55" s="17"/>
      <c r="AF55" s="96" t="s">
        <v>102</v>
      </c>
      <c r="AG55" s="11"/>
    </row>
    <row r="56" spans="1:33" ht="33" customHeight="1" x14ac:dyDescent="0.45">
      <c r="A56" s="77"/>
      <c r="B56" s="75"/>
      <c r="C56" s="75"/>
      <c r="D56" s="79"/>
      <c r="E56" s="78"/>
      <c r="F56" s="78"/>
      <c r="G56" s="16" t="s">
        <v>27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7"/>
      <c r="S56" s="17"/>
      <c r="T56" s="17"/>
      <c r="U56" s="17"/>
      <c r="V56" s="19"/>
      <c r="W56" s="19"/>
      <c r="X56" s="19"/>
      <c r="Y56" s="19"/>
      <c r="Z56" s="20"/>
      <c r="AA56" s="19"/>
      <c r="AB56" s="19"/>
      <c r="AC56" s="19"/>
      <c r="AD56" s="20"/>
      <c r="AE56" s="17"/>
      <c r="AF56" s="95"/>
      <c r="AG56" s="33"/>
    </row>
    <row r="57" spans="1:33" ht="33" customHeight="1" x14ac:dyDescent="0.45">
      <c r="A57" s="76">
        <f t="shared" si="0"/>
        <v>25</v>
      </c>
      <c r="B57" s="74" t="s">
        <v>103</v>
      </c>
      <c r="C57" s="82"/>
      <c r="D57" s="78" t="s">
        <v>23</v>
      </c>
      <c r="E57" s="78"/>
      <c r="F57" s="78"/>
      <c r="G57" s="16" t="s">
        <v>25</v>
      </c>
      <c r="H57" s="19"/>
      <c r="I57" s="19"/>
      <c r="J57" s="19"/>
      <c r="K57" s="19"/>
      <c r="L57" s="19"/>
      <c r="M57" s="19"/>
      <c r="N57" s="19"/>
      <c r="O57" s="19"/>
      <c r="P57" s="17"/>
      <c r="Q57" s="19"/>
      <c r="R57" s="17"/>
      <c r="S57" s="17"/>
      <c r="T57" s="17"/>
      <c r="U57" s="17"/>
      <c r="V57" s="19"/>
      <c r="W57" s="19"/>
      <c r="X57" s="19"/>
      <c r="Y57" s="19"/>
      <c r="Z57" s="20"/>
      <c r="AA57" s="19"/>
      <c r="AB57" s="19"/>
      <c r="AC57" s="19"/>
      <c r="AD57" s="20"/>
      <c r="AE57" s="17"/>
      <c r="AF57" s="17"/>
      <c r="AG57" s="33"/>
    </row>
    <row r="58" spans="1:33" ht="33" customHeight="1" x14ac:dyDescent="0.45">
      <c r="A58" s="77"/>
      <c r="B58" s="75"/>
      <c r="C58" s="83"/>
      <c r="D58" s="79"/>
      <c r="E58" s="78"/>
      <c r="F58" s="78"/>
      <c r="G58" s="16" t="s">
        <v>27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7"/>
      <c r="S58" s="17"/>
      <c r="T58" s="17"/>
      <c r="U58" s="17"/>
      <c r="V58" s="19"/>
      <c r="W58" s="19"/>
      <c r="X58" s="19"/>
      <c r="Y58" s="19"/>
      <c r="Z58" s="19"/>
      <c r="AA58" s="19"/>
      <c r="AB58" s="19"/>
      <c r="AC58" s="19"/>
      <c r="AD58" s="20"/>
      <c r="AE58" s="20"/>
      <c r="AF58" s="20"/>
      <c r="AG58" s="33"/>
    </row>
    <row r="59" spans="1:33" ht="39.75" hidden="1" customHeight="1" x14ac:dyDescent="0.55000000000000004">
      <c r="A59" s="34"/>
      <c r="B59" s="4"/>
      <c r="C59" s="104" t="s">
        <v>104</v>
      </c>
      <c r="D59" s="104"/>
      <c r="E59" s="35">
        <f>SUM(E9:E58)</f>
        <v>0</v>
      </c>
      <c r="F59" s="35">
        <f>SUM(F9:F58)</f>
        <v>25</v>
      </c>
      <c r="G59" s="105"/>
      <c r="H59" s="106"/>
      <c r="I59" s="106"/>
      <c r="J59" s="5"/>
      <c r="K59" s="5"/>
      <c r="L59" s="5"/>
      <c r="M59" s="5"/>
      <c r="N59" s="5"/>
      <c r="O59" s="5"/>
      <c r="P59" s="5"/>
      <c r="Q59" s="5"/>
      <c r="R59" s="5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7"/>
      <c r="AD59" s="37"/>
      <c r="AE59" s="37"/>
      <c r="AF59" s="38"/>
      <c r="AG59" s="33"/>
    </row>
    <row r="60" spans="1:33" ht="39.75" hidden="1" customHeight="1" x14ac:dyDescent="0.55000000000000004">
      <c r="A60" s="34"/>
      <c r="B60" s="4"/>
      <c r="C60" s="104" t="s">
        <v>105</v>
      </c>
      <c r="D60" s="104"/>
      <c r="E60" s="35"/>
      <c r="F60" s="35"/>
      <c r="G60" s="107"/>
      <c r="H60" s="108"/>
      <c r="I60" s="108"/>
      <c r="J60" s="5"/>
      <c r="K60" s="5"/>
      <c r="L60" s="5"/>
      <c r="M60" s="5"/>
      <c r="N60" s="5"/>
      <c r="O60" s="5"/>
      <c r="P60" s="5"/>
      <c r="Q60" s="5"/>
      <c r="R60" s="5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7"/>
      <c r="AD60" s="37"/>
      <c r="AE60" s="37"/>
      <c r="AF60" s="38"/>
      <c r="AG60" s="33"/>
    </row>
    <row r="61" spans="1:33" ht="39.75" hidden="1" customHeight="1" x14ac:dyDescent="0.55000000000000004">
      <c r="A61" s="34"/>
      <c r="B61" s="4"/>
      <c r="C61" s="109" t="s">
        <v>106</v>
      </c>
      <c r="D61" s="109"/>
      <c r="E61" s="39">
        <v>25</v>
      </c>
      <c r="F61" s="39">
        <v>25</v>
      </c>
      <c r="G61" s="107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5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7"/>
      <c r="AD61" s="37"/>
      <c r="AE61" s="37"/>
      <c r="AF61" s="38"/>
      <c r="AG61" s="33"/>
    </row>
    <row r="62" spans="1:33" ht="28.8" hidden="1" x14ac:dyDescent="0.55000000000000004">
      <c r="A62" s="40"/>
      <c r="B62" s="40"/>
      <c r="C62" s="41"/>
      <c r="D62" s="41"/>
      <c r="E62" s="5"/>
      <c r="F62" s="5"/>
      <c r="G62" s="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8"/>
      <c r="AG62" s="33"/>
    </row>
    <row r="63" spans="1:33" ht="93.6" hidden="1" x14ac:dyDescent="0.55000000000000004">
      <c r="A63" s="40"/>
      <c r="B63" s="40"/>
      <c r="C63" s="42" t="s">
        <v>107</v>
      </c>
      <c r="D63" s="43"/>
      <c r="E63" s="44"/>
      <c r="F63" s="44"/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8"/>
      <c r="AG63" s="33"/>
    </row>
    <row r="64" spans="1:33" ht="82.5" hidden="1" customHeight="1" x14ac:dyDescent="0.55000000000000004">
      <c r="A64" s="40"/>
      <c r="B64" s="40"/>
      <c r="C64" s="45" t="s">
        <v>108</v>
      </c>
      <c r="D64" s="46"/>
      <c r="E64" s="47"/>
      <c r="F64" s="47"/>
      <c r="G64" s="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8"/>
      <c r="AG64" s="33"/>
    </row>
    <row r="65" spans="1:33" ht="40.950000000000003" customHeight="1" x14ac:dyDescent="0.55000000000000004">
      <c r="A65" s="40"/>
      <c r="B65" s="40"/>
      <c r="C65" s="48"/>
      <c r="D65" s="41"/>
      <c r="E65" s="5"/>
      <c r="F65" s="119">
        <f>SUM(F61:F64)</f>
        <v>25</v>
      </c>
      <c r="G65" s="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8"/>
      <c r="AG65" s="33"/>
    </row>
    <row r="66" spans="1:33" ht="49.95" customHeight="1" x14ac:dyDescent="0.55000000000000004">
      <c r="A66" s="40"/>
      <c r="B66" s="40"/>
      <c r="C66" s="48"/>
      <c r="D66" s="41"/>
      <c r="E66" s="5"/>
      <c r="F66" s="5"/>
      <c r="G66" s="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8"/>
      <c r="AG66" s="33"/>
    </row>
    <row r="67" spans="1:33" ht="69" hidden="1" customHeight="1" x14ac:dyDescent="0.55000000000000004">
      <c r="A67" s="40"/>
      <c r="B67" s="40"/>
      <c r="C67" s="49" t="s">
        <v>109</v>
      </c>
      <c r="D67" s="43"/>
      <c r="E67" s="50"/>
      <c r="F67" s="50"/>
      <c r="G67" s="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8"/>
      <c r="AG67" s="33"/>
    </row>
    <row r="68" spans="1:33" ht="72.45" hidden="1" customHeight="1" x14ac:dyDescent="0.55000000000000004">
      <c r="A68" s="40"/>
      <c r="B68" s="40"/>
      <c r="C68" s="49" t="s">
        <v>110</v>
      </c>
      <c r="D68" s="43"/>
      <c r="E68" s="44"/>
      <c r="F68" s="44"/>
      <c r="G68" s="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8"/>
      <c r="AG68" s="33"/>
    </row>
    <row r="69" spans="1:33" ht="28.8" hidden="1" x14ac:dyDescent="0.55000000000000004">
      <c r="A69" s="40"/>
      <c r="B69" s="40"/>
      <c r="C69" s="41"/>
      <c r="D69" s="41"/>
      <c r="E69" s="5"/>
      <c r="F69" s="5"/>
      <c r="G69" s="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8"/>
      <c r="AG69" s="33"/>
    </row>
    <row r="70" spans="1:33" ht="43.2" hidden="1" customHeight="1" x14ac:dyDescent="0.4">
      <c r="A70" s="69" t="s">
        <v>111</v>
      </c>
      <c r="B70" s="69"/>
      <c r="C70" s="69"/>
      <c r="D70" s="69"/>
      <c r="E70" s="69"/>
      <c r="F70" s="69"/>
    </row>
    <row r="71" spans="1:33" ht="43.2" hidden="1" customHeight="1" x14ac:dyDescent="0.4">
      <c r="A71" s="103"/>
      <c r="B71" s="103"/>
      <c r="C71" s="103"/>
      <c r="D71" s="103"/>
      <c r="E71" s="103"/>
      <c r="F71" s="103"/>
    </row>
    <row r="72" spans="1:33" ht="43.2" hidden="1" customHeight="1" x14ac:dyDescent="0.4">
      <c r="A72" s="103"/>
      <c r="B72" s="103"/>
      <c r="C72" s="103"/>
      <c r="D72" s="103"/>
      <c r="E72" s="103"/>
      <c r="F72" s="103"/>
    </row>
    <row r="73" spans="1:33" ht="43.2" hidden="1" customHeight="1" x14ac:dyDescent="0.4">
      <c r="A73" s="103"/>
      <c r="B73" s="103"/>
      <c r="C73" s="103"/>
      <c r="D73" s="103"/>
      <c r="E73" s="103"/>
      <c r="F73" s="103"/>
    </row>
    <row r="74" spans="1:33" hidden="1" x14ac:dyDescent="0.4">
      <c r="A74" s="52"/>
      <c r="B74" s="53"/>
      <c r="C74" s="54"/>
      <c r="D74" s="54"/>
      <c r="E74" s="54"/>
      <c r="F74" s="54"/>
    </row>
    <row r="75" spans="1:33" hidden="1" x14ac:dyDescent="0.4">
      <c r="A75" s="52"/>
      <c r="B75" s="53"/>
      <c r="C75" s="54"/>
      <c r="D75" s="54"/>
      <c r="E75" s="54"/>
      <c r="F75" s="54"/>
    </row>
    <row r="76" spans="1:33" hidden="1" x14ac:dyDescent="0.4">
      <c r="A76" s="52"/>
      <c r="B76" s="53"/>
      <c r="C76" s="54"/>
      <c r="D76" s="54"/>
      <c r="E76" s="54"/>
      <c r="F76" s="54"/>
    </row>
    <row r="77" spans="1:33" hidden="1" x14ac:dyDescent="0.4"/>
    <row r="78" spans="1:33" hidden="1" x14ac:dyDescent="0.4"/>
    <row r="79" spans="1:33" hidden="1" x14ac:dyDescent="0.4"/>
    <row r="80" spans="1:33" hidden="1" x14ac:dyDescent="0.4"/>
    <row r="81" hidden="1" x14ac:dyDescent="0.4"/>
    <row r="82" hidden="1" x14ac:dyDescent="0.4"/>
    <row r="83" hidden="1" x14ac:dyDescent="0.4"/>
    <row r="84" hidden="1" x14ac:dyDescent="0.4"/>
    <row r="85" hidden="1" x14ac:dyDescent="0.4"/>
  </sheetData>
  <mergeCells count="196">
    <mergeCell ref="J61:Q61"/>
    <mergeCell ref="A70:F70"/>
    <mergeCell ref="A71:F71"/>
    <mergeCell ref="A72:F72"/>
    <mergeCell ref="A73:F73"/>
    <mergeCell ref="C59:D59"/>
    <mergeCell ref="G59:I59"/>
    <mergeCell ref="C60:D60"/>
    <mergeCell ref="G60:I60"/>
    <mergeCell ref="C61:D61"/>
    <mergeCell ref="G61:I61"/>
    <mergeCell ref="A57:A58"/>
    <mergeCell ref="B57:B58"/>
    <mergeCell ref="C57:C58"/>
    <mergeCell ref="D57:D58"/>
    <mergeCell ref="E57:E58"/>
    <mergeCell ref="F57:F58"/>
    <mergeCell ref="AF53:AF54"/>
    <mergeCell ref="A55:A56"/>
    <mergeCell ref="B55:B56"/>
    <mergeCell ref="C55:C56"/>
    <mergeCell ref="D55:D56"/>
    <mergeCell ref="E55:E56"/>
    <mergeCell ref="F55:F56"/>
    <mergeCell ref="AF55:AF56"/>
    <mergeCell ref="A53:A54"/>
    <mergeCell ref="B53:B54"/>
    <mergeCell ref="C53:C54"/>
    <mergeCell ref="D53:D54"/>
    <mergeCell ref="E53:E54"/>
    <mergeCell ref="F53:F54"/>
    <mergeCell ref="AF49:AF50"/>
    <mergeCell ref="A51:A52"/>
    <mergeCell ref="B51:B52"/>
    <mergeCell ref="C51:C52"/>
    <mergeCell ref="D51:D52"/>
    <mergeCell ref="E51:E52"/>
    <mergeCell ref="F51:F52"/>
    <mergeCell ref="AF51:AF52"/>
    <mergeCell ref="A49:A50"/>
    <mergeCell ref="B49:B50"/>
    <mergeCell ref="C49:C50"/>
    <mergeCell ref="D49:D50"/>
    <mergeCell ref="E49:E50"/>
    <mergeCell ref="F49:F50"/>
    <mergeCell ref="AF45:AF46"/>
    <mergeCell ref="A47:A48"/>
    <mergeCell ref="B47:B48"/>
    <mergeCell ref="C47:C48"/>
    <mergeCell ref="D47:D48"/>
    <mergeCell ref="E47:E48"/>
    <mergeCell ref="F47:F48"/>
    <mergeCell ref="AF47:AF48"/>
    <mergeCell ref="A45:A46"/>
    <mergeCell ref="B45:B46"/>
    <mergeCell ref="C45:C46"/>
    <mergeCell ref="D45:D46"/>
    <mergeCell ref="E45:E46"/>
    <mergeCell ref="F45:F46"/>
    <mergeCell ref="AF41:AF44"/>
    <mergeCell ref="A43:A44"/>
    <mergeCell ref="B43:B44"/>
    <mergeCell ref="C43:C44"/>
    <mergeCell ref="D43:D44"/>
    <mergeCell ref="E43:E44"/>
    <mergeCell ref="F43:F44"/>
    <mergeCell ref="A41:A42"/>
    <mergeCell ref="B41:B42"/>
    <mergeCell ref="C41:C42"/>
    <mergeCell ref="D41:D42"/>
    <mergeCell ref="E41:E42"/>
    <mergeCell ref="F41:F42"/>
    <mergeCell ref="AF37:AF38"/>
    <mergeCell ref="A39:A40"/>
    <mergeCell ref="B39:B40"/>
    <mergeCell ref="C39:C40"/>
    <mergeCell ref="D39:D40"/>
    <mergeCell ref="E39:E40"/>
    <mergeCell ref="F39:F40"/>
    <mergeCell ref="AF39:AF40"/>
    <mergeCell ref="A37:A38"/>
    <mergeCell ref="B37:B38"/>
    <mergeCell ref="C37:C38"/>
    <mergeCell ref="D37:D38"/>
    <mergeCell ref="E37:E38"/>
    <mergeCell ref="F37:F38"/>
    <mergeCell ref="A31:A32"/>
    <mergeCell ref="B31:B32"/>
    <mergeCell ref="C31:C32"/>
    <mergeCell ref="D31:D32"/>
    <mergeCell ref="E31:E32"/>
    <mergeCell ref="F31:F32"/>
    <mergeCell ref="AF31:AF32"/>
    <mergeCell ref="AF33:AF34"/>
    <mergeCell ref="A35:A36"/>
    <mergeCell ref="B35:B36"/>
    <mergeCell ref="C35:C36"/>
    <mergeCell ref="D35:D36"/>
    <mergeCell ref="E35:E36"/>
    <mergeCell ref="F35:F36"/>
    <mergeCell ref="AF35:AF36"/>
    <mergeCell ref="A33:A34"/>
    <mergeCell ref="B33:B34"/>
    <mergeCell ref="C33:C34"/>
    <mergeCell ref="D33:D34"/>
    <mergeCell ref="E33:E34"/>
    <mergeCell ref="F33:F34"/>
    <mergeCell ref="AF25:AF28"/>
    <mergeCell ref="A27:A28"/>
    <mergeCell ref="B27:B28"/>
    <mergeCell ref="C27:C28"/>
    <mergeCell ref="D27:D28"/>
    <mergeCell ref="A29:A30"/>
    <mergeCell ref="B29:B30"/>
    <mergeCell ref="C29:C30"/>
    <mergeCell ref="D29:D30"/>
    <mergeCell ref="E29:E30"/>
    <mergeCell ref="A25:A26"/>
    <mergeCell ref="B25:B26"/>
    <mergeCell ref="C25:C26"/>
    <mergeCell ref="D25:D26"/>
    <mergeCell ref="E25:E28"/>
    <mergeCell ref="F25:F28"/>
    <mergeCell ref="F29:F30"/>
    <mergeCell ref="AF29:AF30"/>
    <mergeCell ref="AF21:AF22"/>
    <mergeCell ref="A23:A24"/>
    <mergeCell ref="B23:B24"/>
    <mergeCell ref="C23:C24"/>
    <mergeCell ref="D23:D24"/>
    <mergeCell ref="E23:E24"/>
    <mergeCell ref="F23:F24"/>
    <mergeCell ref="AF23:AF24"/>
    <mergeCell ref="A21:A22"/>
    <mergeCell ref="B21:B22"/>
    <mergeCell ref="C21:C22"/>
    <mergeCell ref="D21:D22"/>
    <mergeCell ref="E21:E22"/>
    <mergeCell ref="F21:F22"/>
    <mergeCell ref="AF17:AF18"/>
    <mergeCell ref="A19:A20"/>
    <mergeCell ref="B19:B20"/>
    <mergeCell ref="C19:C20"/>
    <mergeCell ref="D19:D20"/>
    <mergeCell ref="E19:E20"/>
    <mergeCell ref="F19:F20"/>
    <mergeCell ref="AF19:AF20"/>
    <mergeCell ref="A17:A18"/>
    <mergeCell ref="B17:B18"/>
    <mergeCell ref="C17:C18"/>
    <mergeCell ref="D17:D18"/>
    <mergeCell ref="E17:E18"/>
    <mergeCell ref="F17:F18"/>
    <mergeCell ref="AF13:AF14"/>
    <mergeCell ref="A15:A16"/>
    <mergeCell ref="B15:B16"/>
    <mergeCell ref="C15:C16"/>
    <mergeCell ref="D15:D16"/>
    <mergeCell ref="E15:E16"/>
    <mergeCell ref="AF15:AF16"/>
    <mergeCell ref="A13:A14"/>
    <mergeCell ref="B13:B14"/>
    <mergeCell ref="C13:C14"/>
    <mergeCell ref="D13:D14"/>
    <mergeCell ref="E13:E14"/>
    <mergeCell ref="F13:F16"/>
    <mergeCell ref="AF9:AF10"/>
    <mergeCell ref="A11:A12"/>
    <mergeCell ref="B11:B12"/>
    <mergeCell ref="C11:C12"/>
    <mergeCell ref="D11:D12"/>
    <mergeCell ref="E11:E12"/>
    <mergeCell ref="F11:F12"/>
    <mergeCell ref="AF11:AF12"/>
    <mergeCell ref="A9:A10"/>
    <mergeCell ref="B9:B10"/>
    <mergeCell ref="C9:C10"/>
    <mergeCell ref="D9:D10"/>
    <mergeCell ref="E9:E10"/>
    <mergeCell ref="F9:F10"/>
    <mergeCell ref="L7:O7"/>
    <mergeCell ref="P7:S7"/>
    <mergeCell ref="T7:W7"/>
    <mergeCell ref="X7:AA7"/>
    <mergeCell ref="AB7:AE7"/>
    <mergeCell ref="AF7:AF8"/>
    <mergeCell ref="A1:AE3"/>
    <mergeCell ref="C5:AE5"/>
    <mergeCell ref="A7:A8"/>
    <mergeCell ref="B7:B8"/>
    <mergeCell ref="C7:C8"/>
    <mergeCell ref="D7:D8"/>
    <mergeCell ref="E7:E8"/>
    <mergeCell ref="F7:F8"/>
    <mergeCell ref="G7:G8"/>
    <mergeCell ref="H7:K7"/>
  </mergeCells>
  <printOptions horizontalCentered="1"/>
  <pageMargins left="0" right="0" top="0.51181102362204722" bottom="0.23622047244094491" header="0" footer="0"/>
  <pageSetup paperSize="9" scale="32" fitToHeight="3" orientation="landscape" r:id="rId1"/>
  <rowBreaks count="2" manualBreakCount="2">
    <brk id="20" max="30" man="1"/>
    <brk id="32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B209-ED22-4A33-AA8A-35D88696CBBB}">
  <sheetPr>
    <pageSetUpPr fitToPage="1"/>
  </sheetPr>
  <dimension ref="A1:F11"/>
  <sheetViews>
    <sheetView view="pageBreakPreview" zoomScale="60" zoomScaleNormal="100" workbookViewId="0">
      <selection sqref="A1:F11"/>
    </sheetView>
  </sheetViews>
  <sheetFormatPr defaultRowHeight="13.2" x14ac:dyDescent="0.25"/>
  <cols>
    <col min="1" max="1" width="6.33203125" customWidth="1"/>
    <col min="2" max="2" width="32.44140625" customWidth="1"/>
    <col min="3" max="3" width="47" customWidth="1"/>
    <col min="4" max="4" width="35.77734375" style="63" customWidth="1"/>
    <col min="5" max="5" width="25.33203125" style="63" customWidth="1"/>
    <col min="6" max="6" width="15.77734375" customWidth="1"/>
  </cols>
  <sheetData>
    <row r="1" spans="1:6" x14ac:dyDescent="0.25">
      <c r="A1" s="110" t="s">
        <v>113</v>
      </c>
      <c r="B1" s="111"/>
      <c r="C1" s="111"/>
      <c r="D1" s="111"/>
      <c r="E1" s="111"/>
      <c r="F1" s="111"/>
    </row>
    <row r="2" spans="1:6" x14ac:dyDescent="0.25">
      <c r="A2" s="112"/>
      <c r="B2" s="112"/>
      <c r="C2" s="112"/>
      <c r="D2" s="112"/>
      <c r="E2" s="112"/>
      <c r="F2" s="112"/>
    </row>
    <row r="3" spans="1:6" s="56" customFormat="1" ht="52.2" customHeight="1" x14ac:dyDescent="0.3">
      <c r="A3" s="113">
        <v>4</v>
      </c>
      <c r="B3" s="59" t="s">
        <v>114</v>
      </c>
      <c r="C3" s="60" t="s">
        <v>115</v>
      </c>
      <c r="D3" s="61" t="s">
        <v>116</v>
      </c>
      <c r="E3" s="61" t="s">
        <v>117</v>
      </c>
      <c r="F3" s="61" t="s">
        <v>118</v>
      </c>
    </row>
    <row r="4" spans="1:6" ht="124.8" x14ac:dyDescent="0.25">
      <c r="A4" s="113"/>
      <c r="B4" s="57" t="s">
        <v>119</v>
      </c>
      <c r="C4" s="57" t="s">
        <v>120</v>
      </c>
      <c r="D4" s="57" t="s">
        <v>121</v>
      </c>
      <c r="E4" s="55" t="s">
        <v>122</v>
      </c>
      <c r="F4" s="114" t="s">
        <v>123</v>
      </c>
    </row>
    <row r="5" spans="1:6" ht="78" x14ac:dyDescent="0.25">
      <c r="A5" s="113"/>
      <c r="B5" s="57" t="s">
        <v>124</v>
      </c>
      <c r="C5" s="57" t="s">
        <v>125</v>
      </c>
      <c r="D5" s="57" t="s">
        <v>126</v>
      </c>
      <c r="E5" s="55" t="s">
        <v>122</v>
      </c>
      <c r="F5" s="114"/>
    </row>
    <row r="6" spans="1:6" ht="31.2" x14ac:dyDescent="0.25">
      <c r="A6" s="113"/>
      <c r="B6" s="57" t="s">
        <v>127</v>
      </c>
      <c r="C6" s="57" t="s">
        <v>128</v>
      </c>
      <c r="D6" s="57" t="s">
        <v>129</v>
      </c>
      <c r="E6" s="115" t="s">
        <v>130</v>
      </c>
      <c r="F6" s="114"/>
    </row>
    <row r="7" spans="1:6" ht="31.2" x14ac:dyDescent="0.25">
      <c r="A7" s="113"/>
      <c r="B7" s="57" t="s">
        <v>131</v>
      </c>
      <c r="C7" s="58" t="s">
        <v>132</v>
      </c>
      <c r="D7" s="57" t="s">
        <v>133</v>
      </c>
      <c r="E7" s="115"/>
      <c r="F7" s="114"/>
    </row>
    <row r="8" spans="1:6" s="62" customFormat="1" ht="44.4" customHeight="1" x14ac:dyDescent="0.3">
      <c r="A8" s="113">
        <v>6</v>
      </c>
      <c r="B8" s="59" t="s">
        <v>146</v>
      </c>
      <c r="C8" s="60" t="s">
        <v>115</v>
      </c>
      <c r="D8" s="61" t="s">
        <v>116</v>
      </c>
      <c r="E8" s="61" t="s">
        <v>117</v>
      </c>
      <c r="F8" s="61" t="s">
        <v>118</v>
      </c>
    </row>
    <row r="9" spans="1:6" ht="31.2" x14ac:dyDescent="0.25">
      <c r="A9" s="113"/>
      <c r="B9" s="57" t="s">
        <v>134</v>
      </c>
      <c r="C9" s="57" t="s">
        <v>135</v>
      </c>
      <c r="D9" s="57" t="s">
        <v>136</v>
      </c>
      <c r="E9" s="55" t="s">
        <v>137</v>
      </c>
      <c r="F9" s="114" t="s">
        <v>138</v>
      </c>
    </row>
    <row r="10" spans="1:6" ht="62.4" x14ac:dyDescent="0.25">
      <c r="A10" s="113"/>
      <c r="B10" s="57" t="s">
        <v>139</v>
      </c>
      <c r="C10" s="57" t="s">
        <v>140</v>
      </c>
      <c r="D10" s="57" t="s">
        <v>141</v>
      </c>
      <c r="E10" s="55" t="s">
        <v>142</v>
      </c>
      <c r="F10" s="114"/>
    </row>
    <row r="11" spans="1:6" ht="46.8" x14ac:dyDescent="0.25">
      <c r="A11" s="113"/>
      <c r="B11" s="57" t="s">
        <v>143</v>
      </c>
      <c r="C11" s="57" t="s">
        <v>144</v>
      </c>
      <c r="D11" s="57" t="s">
        <v>145</v>
      </c>
      <c r="E11" s="55" t="s">
        <v>137</v>
      </c>
      <c r="F11" s="114"/>
    </row>
  </sheetData>
  <mergeCells count="6">
    <mergeCell ref="A1:F2"/>
    <mergeCell ref="A3:A7"/>
    <mergeCell ref="F4:F7"/>
    <mergeCell ref="E6:E7"/>
    <mergeCell ref="A8:A11"/>
    <mergeCell ref="F9:F11"/>
  </mergeCells>
  <pageMargins left="0.7" right="0.7" top="0.75" bottom="0.75" header="0.3" footer="0.3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Time Line</vt:lpstr>
      <vt:lpstr>Sheet1</vt:lpstr>
      <vt:lpstr>'Time Line'!Print_Area</vt:lpstr>
      <vt:lpstr>'Time Line'!Print_Titles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Yudha</dc:creator>
  <cp:lastModifiedBy>Hse Yudha</cp:lastModifiedBy>
  <cp:lastPrinted>2026-06-01T06:37:10Z</cp:lastPrinted>
  <dcterms:created xsi:type="dcterms:W3CDTF">2026-05-18T15:02:06Z</dcterms:created>
  <dcterms:modified xsi:type="dcterms:W3CDTF">2026-06-02T11:54:18Z</dcterms:modified>
</cp:coreProperties>
</file>